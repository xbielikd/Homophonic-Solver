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ik\Desktop\FEI STUBA\9_semester\DP\githubRepo\Homophonic-Solver\src\main\resources\logs\quads\"/>
    </mc:Choice>
  </mc:AlternateContent>
  <xr:revisionPtr revIDLastSave="0" documentId="13_ncr:1_{A5DDE5B0-099C-4878-8262-7BCA03EEAD2F}" xr6:coauthVersionLast="47" xr6:coauthVersionMax="47" xr10:uidLastSave="{00000000-0000-0000-0000-000000000000}"/>
  <bookViews>
    <workbookView xWindow="28680" yWindow="-5385" windowWidth="38640" windowHeight="21240" tabRatio="664" activeTab="10" xr2:uid="{D63B478F-AFBD-47A2-8E6D-639C25A78BCB}"/>
  </bookViews>
  <sheets>
    <sheet name="logResults100Fix" sheetId="11" r:id="rId1"/>
    <sheet name="logResults100Freq" sheetId="3" r:id="rId2"/>
    <sheet name="logResults250Fix" sheetId="2" r:id="rId3"/>
    <sheet name="logResults250Freq" sheetId="4" r:id="rId4"/>
    <sheet name="logResults500Fix" sheetId="7" r:id="rId5"/>
    <sheet name="logResults500Freq" sheetId="5" r:id="rId6"/>
    <sheet name="logResults1000Fix" sheetId="6" r:id="rId7"/>
    <sheet name="logResults1000Freq" sheetId="8" r:id="rId8"/>
    <sheet name="logResults2000Fix" sheetId="9" r:id="rId9"/>
    <sheet name="logResults2000Freq" sheetId="10" r:id="rId10"/>
    <sheet name="Summary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N5" i="10"/>
  <c r="M5" i="10"/>
  <c r="L5" i="10"/>
  <c r="K5" i="10"/>
  <c r="N4" i="10"/>
  <c r="M4" i="10"/>
  <c r="L4" i="10"/>
  <c r="K4" i="10"/>
  <c r="N3" i="10"/>
  <c r="M3" i="10"/>
  <c r="L3" i="10"/>
  <c r="K3" i="10"/>
  <c r="N2" i="10"/>
  <c r="M2" i="10"/>
  <c r="L2" i="10"/>
  <c r="K2" i="10"/>
  <c r="N5" i="8"/>
  <c r="M5" i="8"/>
  <c r="L5" i="8"/>
  <c r="K5" i="8"/>
  <c r="N4" i="8"/>
  <c r="M4" i="8"/>
  <c r="L4" i="8"/>
  <c r="K4" i="8"/>
  <c r="N3" i="8"/>
  <c r="M3" i="8"/>
  <c r="L3" i="8"/>
  <c r="K3" i="8"/>
  <c r="N2" i="8"/>
  <c r="M2" i="8"/>
  <c r="L2" i="8"/>
  <c r="K2" i="8"/>
  <c r="N5" i="5"/>
  <c r="M5" i="5"/>
  <c r="L5" i="5"/>
  <c r="K5" i="5"/>
  <c r="N4" i="5"/>
  <c r="M4" i="5"/>
  <c r="L4" i="5"/>
  <c r="K4" i="5"/>
  <c r="N3" i="5"/>
  <c r="M3" i="5"/>
  <c r="L3" i="5"/>
  <c r="K3" i="5"/>
  <c r="N2" i="5"/>
  <c r="M2" i="5"/>
  <c r="L2" i="5"/>
  <c r="K2" i="5"/>
  <c r="N5" i="4"/>
  <c r="M5" i="4"/>
  <c r="L5" i="4"/>
  <c r="K5" i="4"/>
  <c r="N4" i="4"/>
  <c r="M4" i="4"/>
  <c r="L4" i="4"/>
  <c r="K4" i="4"/>
  <c r="N3" i="4"/>
  <c r="M3" i="4"/>
  <c r="L3" i="4"/>
  <c r="K3" i="4"/>
  <c r="N2" i="4"/>
  <c r="M2" i="4"/>
  <c r="L2" i="4"/>
  <c r="K2" i="4"/>
  <c r="N5" i="3"/>
  <c r="M5" i="3"/>
  <c r="L5" i="3"/>
  <c r="K5" i="3"/>
  <c r="N4" i="3"/>
  <c r="M4" i="3"/>
  <c r="L4" i="3"/>
  <c r="K4" i="3"/>
  <c r="N3" i="3"/>
  <c r="M3" i="3"/>
  <c r="L3" i="3"/>
  <c r="K3" i="3"/>
  <c r="N2" i="3"/>
  <c r="M2" i="3"/>
  <c r="L2" i="3"/>
  <c r="K2" i="3"/>
  <c r="N5" i="11"/>
  <c r="M5" i="11"/>
  <c r="L5" i="11"/>
  <c r="K5" i="11"/>
  <c r="N4" i="11"/>
  <c r="M4" i="11"/>
  <c r="L4" i="11"/>
  <c r="K4" i="11"/>
  <c r="N3" i="11"/>
  <c r="M3" i="11"/>
  <c r="L3" i="11"/>
  <c r="K3" i="11"/>
  <c r="N2" i="11"/>
  <c r="M2" i="11"/>
  <c r="L2" i="11"/>
  <c r="K2" i="11"/>
  <c r="N5" i="2"/>
  <c r="M5" i="2"/>
  <c r="L5" i="2"/>
  <c r="K5" i="2"/>
  <c r="N4" i="2"/>
  <c r="M4" i="2"/>
  <c r="L4" i="2"/>
  <c r="K4" i="2"/>
  <c r="N3" i="2"/>
  <c r="M3" i="2"/>
  <c r="L3" i="2"/>
  <c r="K3" i="2"/>
  <c r="N2" i="2"/>
  <c r="M2" i="2"/>
  <c r="L2" i="2"/>
  <c r="K2" i="2"/>
  <c r="N5" i="7"/>
  <c r="M5" i="7"/>
  <c r="L5" i="7"/>
  <c r="K5" i="7"/>
  <c r="N4" i="7"/>
  <c r="M4" i="7"/>
  <c r="L4" i="7"/>
  <c r="K4" i="7"/>
  <c r="N3" i="7"/>
  <c r="M3" i="7"/>
  <c r="L3" i="7"/>
  <c r="K3" i="7"/>
  <c r="N2" i="7"/>
  <c r="M2" i="7"/>
  <c r="L2" i="7"/>
  <c r="K2" i="7"/>
  <c r="N5" i="6"/>
  <c r="M5" i="6"/>
  <c r="L5" i="6"/>
  <c r="K5" i="6"/>
  <c r="N4" i="6"/>
  <c r="M4" i="6"/>
  <c r="L4" i="6"/>
  <c r="K4" i="6"/>
  <c r="N3" i="6"/>
  <c r="M3" i="6"/>
  <c r="L3" i="6"/>
  <c r="K3" i="6"/>
  <c r="N2" i="6"/>
  <c r="M2" i="6"/>
  <c r="L2" i="6"/>
  <c r="K2" i="6"/>
  <c r="N5" i="9"/>
  <c r="M5" i="9"/>
  <c r="L5" i="9"/>
  <c r="K5" i="9"/>
  <c r="N4" i="9"/>
  <c r="M4" i="9"/>
  <c r="L4" i="9"/>
  <c r="K4" i="9"/>
  <c r="N3" i="9"/>
  <c r="M3" i="9"/>
  <c r="L3" i="9"/>
  <c r="K3" i="9"/>
  <c r="N2" i="9"/>
  <c r="M2" i="9"/>
  <c r="L2" i="9"/>
  <c r="K2" i="9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</calcChain>
</file>

<file path=xl/sharedStrings.xml><?xml version="1.0" encoding="utf-8"?>
<sst xmlns="http://schemas.openxmlformats.org/spreadsheetml/2006/main" count="3816" uniqueCount="1258">
  <si>
    <t>NO</t>
  </si>
  <si>
    <t>FIXED</t>
  </si>
  <si>
    <t>pt_250_9_keyFix_4_5_greatGatsby.txt</t>
  </si>
  <si>
    <t>pt_250_9_keyFix_3_4_greatGatsby.txt</t>
  </si>
  <si>
    <t>pt_250_9_keyFix_2_3_greatGatsby.txt</t>
  </si>
  <si>
    <t>pt_250_9_keyFix_1_2_greatGatsby.txt</t>
  </si>
  <si>
    <t>pt_250_8_keyFix_4_5_greatGatsby.txt</t>
  </si>
  <si>
    <t>pt_250_8_keyFix_3_4_greatGatsby.txt</t>
  </si>
  <si>
    <t>pt_250_8_keyFix_2_3_greatGatsby.txt</t>
  </si>
  <si>
    <t>YES</t>
  </si>
  <si>
    <t>pt_250_8_keyFix_1_2_greatGatsby.txt</t>
  </si>
  <si>
    <t>pt_250_7_keyFix_4_5_greatGatsby.txt</t>
  </si>
  <si>
    <t>pt_250_7_keyFix_3_4_greatGatsby.txt</t>
  </si>
  <si>
    <t>pt_250_7_keyFix_2_3_greatGatsby.txt</t>
  </si>
  <si>
    <t>pt_250_7_keyFix_1_2_greatGatsby.txt</t>
  </si>
  <si>
    <t>pt_250_6_keyFix_4_5_greatGatsby.txt</t>
  </si>
  <si>
    <t>pt_250_6_keyFix_3_4_greatGatsby.txt</t>
  </si>
  <si>
    <t>pt_250_6_keyFix_2_3_greatGatsby.txt</t>
  </si>
  <si>
    <t>pt_250_6_keyFix_1_2_greatGatsby.txt</t>
  </si>
  <si>
    <t>pt_250_5_keyFix_4_5_greatGatsby.txt</t>
  </si>
  <si>
    <t>pt_250_5_keyFix_3_4_greatGatsby.txt</t>
  </si>
  <si>
    <t>pt_250_5_keyFix_2_3_greatGatsby.txt</t>
  </si>
  <si>
    <t>pt_250_5_keyFix_1_2_greatGatsby.txt</t>
  </si>
  <si>
    <t>pt_250_4_keyFix_4_5_greatGatsby.txt</t>
  </si>
  <si>
    <t>pt_250_4_keyFix_3_4_greatGatsby.txt</t>
  </si>
  <si>
    <t>pt_250_4_keyFix_2_3_greatGatsby.txt</t>
  </si>
  <si>
    <t>pt_250_4_keyFix_1_2_greatGatsby.txt</t>
  </si>
  <si>
    <t>pt_250_3_keyFix_4_5_greatGatsby.txt</t>
  </si>
  <si>
    <t>pt_250_3_keyFix_3_4_greatGatsby.txt</t>
  </si>
  <si>
    <t>pt_250_3_keyFix_2_3_greatGatsby.txt</t>
  </si>
  <si>
    <t>pt_250_3_keyFix_1_2_greatGatsby.txt</t>
  </si>
  <si>
    <t>pt_250_2_keyFix_4_5_greatGatsby.txt</t>
  </si>
  <si>
    <t>pt_250_2_keyFix_3_4_greatGatsby.txt</t>
  </si>
  <si>
    <t>pt_250_2_keyFix_2_3_greatGatsby.txt</t>
  </si>
  <si>
    <t>pt_250_2_keyFix_1_2_greatGatsby.txt</t>
  </si>
  <si>
    <t>pt_250_1_keyFix_4_5_greatGatsby.txt</t>
  </si>
  <si>
    <t>pt_250_1_keyFix_3_4_greatGatsby.txt</t>
  </si>
  <si>
    <t>pt_250_1_keyFix_2_3_greatGatsby.txt</t>
  </si>
  <si>
    <t>pt_250_1_keyFix_1_2_greatGatsby.txt</t>
  </si>
  <si>
    <t>pt_250_10_keyFix_4_5_greatGatsby.txt</t>
  </si>
  <si>
    <t>pt_250_10_keyFix_3_4_greatGatsby.txt</t>
  </si>
  <si>
    <t>pt_250_10_keyFix_2_3_greatGatsby.txt</t>
  </si>
  <si>
    <t>pt_250_10_keyFix_1_2_greatGatsby.txt</t>
  </si>
  <si>
    <t>pt_250_9_keyFix_4_5_frankenstein.txt</t>
  </si>
  <si>
    <t>pt_250_9_keyFix_3_4_frankenstein.txt</t>
  </si>
  <si>
    <t>pt_250_9_keyFix_2_3_frankenstein.txt</t>
  </si>
  <si>
    <t>pt_250_9_keyFix_1_2_frankenstein.txt</t>
  </si>
  <si>
    <t>pt_250_8_keyFix_4_5_frankenstein.txt</t>
  </si>
  <si>
    <t>pt_250_8_keyFix_3_4_frankenstein.txt</t>
  </si>
  <si>
    <t>pt_250_8_keyFix_2_3_frankenstein.txt</t>
  </si>
  <si>
    <t>pt_250_8_keyFix_1_2_frankenstein.txt</t>
  </si>
  <si>
    <t>pt_250_7_keyFix_4_5_frankenstein.txt</t>
  </si>
  <si>
    <t>pt_250_7_keyFix_3_4_frankenstein.txt</t>
  </si>
  <si>
    <t>pt_250_7_keyFix_2_3_frankenstein.txt</t>
  </si>
  <si>
    <t>pt_250_7_keyFix_1_2_frankenstein.txt</t>
  </si>
  <si>
    <t>pt_250_6_keyFix_4_5_frankenstein.txt</t>
  </si>
  <si>
    <t>pt_250_6_keyFix_3_4_frankenstein.txt</t>
  </si>
  <si>
    <t>pt_250_6_keyFix_2_3_frankenstein.txt</t>
  </si>
  <si>
    <t>pt_250_6_keyFix_1_2_frankenstein.txt</t>
  </si>
  <si>
    <t>pt_250_5_keyFix_4_5_frankenstein.txt</t>
  </si>
  <si>
    <t>pt_250_5_keyFix_3_4_frankenstein.txt</t>
  </si>
  <si>
    <t>pt_250_5_keyFix_2_3_frankenstein.txt</t>
  </si>
  <si>
    <t>pt_250_5_keyFix_1_2_frankenstein.txt</t>
  </si>
  <si>
    <t>pt_250_4_keyFix_4_5_frankenstein.txt</t>
  </si>
  <si>
    <t>pt_250_4_keyFix_3_4_frankenstein.txt</t>
  </si>
  <si>
    <t>pt_250_4_keyFix_2_3_frankenstein.txt</t>
  </si>
  <si>
    <t>pt_250_4_keyFix_1_2_frankenstein.txt</t>
  </si>
  <si>
    <t>pt_250_3_keyFix_4_5_frankenstein.txt</t>
  </si>
  <si>
    <t>pt_250_3_keyFix_3_4_frankenstein.txt</t>
  </si>
  <si>
    <t>pt_250_3_keyFix_2_3_frankenstein.txt</t>
  </si>
  <si>
    <t>pt_250_3_keyFix_1_2_frankenstein.txt</t>
  </si>
  <si>
    <t>pt_250_2_keyFix_4_5_frankenstein.txt</t>
  </si>
  <si>
    <t>pt_250_2_keyFix_3_4_frankenstein.txt</t>
  </si>
  <si>
    <t>pt_250_2_keyFix_2_3_frankenstein.txt</t>
  </si>
  <si>
    <t>pt_250_2_keyFix_1_2_frankenstein.txt</t>
  </si>
  <si>
    <t>pt_250_1_keyFix_4_5_frankenstein.txt</t>
  </si>
  <si>
    <t>pt_250_1_keyFix_3_4_frankenstein.txt</t>
  </si>
  <si>
    <t>pt_250_1_keyFix_2_3_frankenstein.txt</t>
  </si>
  <si>
    <t>pt_250_1_keyFix_1_2_frankenstein.txt</t>
  </si>
  <si>
    <t>pt_250_10_keyFix_4_5_frankenstein.txt</t>
  </si>
  <si>
    <t>pt_250_10_keyFix_3_4_frankenstein.txt</t>
  </si>
  <si>
    <t>pt_250_10_keyFix_2_3_frankenstein.txt</t>
  </si>
  <si>
    <t>pt_250_10_keyFix_1_2_frankenstein.txt</t>
  </si>
  <si>
    <t>pt_250_9_keyFix_4_5_dorianGray.txt</t>
  </si>
  <si>
    <t>pt_250_9_keyFix_3_4_dorianGray.txt</t>
  </si>
  <si>
    <t>pt_250_9_keyFix_2_3_dorianGray.txt</t>
  </si>
  <si>
    <t>pt_250_9_keyFix_1_2_dorianGray.txt</t>
  </si>
  <si>
    <t>pt_250_8_keyFix_4_5_dorianGray.txt</t>
  </si>
  <si>
    <t>pt_250_8_keyFix_3_4_dorianGray.txt</t>
  </si>
  <si>
    <t>pt_250_8_keyFix_2_3_dorianGray.txt</t>
  </si>
  <si>
    <t>pt_250_8_keyFix_1_2_dorianGray.txt</t>
  </si>
  <si>
    <t>pt_250_7_keyFix_4_5_dorianGray.txt</t>
  </si>
  <si>
    <t>pt_250_7_keyFix_3_4_dorianGray.txt</t>
  </si>
  <si>
    <t>pt_250_7_keyFix_2_3_dorianGray.txt</t>
  </si>
  <si>
    <t>pt_250_7_keyFix_1_2_dorianGray.txt</t>
  </si>
  <si>
    <t>pt_250_6_keyFix_4_5_dorianGray.txt</t>
  </si>
  <si>
    <t>pt_250_6_keyFix_3_4_dorianGray.txt</t>
  </si>
  <si>
    <t>pt_250_6_keyFix_2_3_dorianGray.txt</t>
  </si>
  <si>
    <t>pt_250_6_keyFix_1_2_dorianGray.txt</t>
  </si>
  <si>
    <t>pt_250_5_keyFix_4_5_dorianGray.txt</t>
  </si>
  <si>
    <t>pt_250_5_keyFix_3_4_dorianGray.txt</t>
  </si>
  <si>
    <t>pt_250_5_keyFix_2_3_dorianGray.txt</t>
  </si>
  <si>
    <t>pt_250_5_keyFix_1_2_dorianGray.txt</t>
  </si>
  <si>
    <t>pt_250_4_keyFix_4_5_dorianGray.txt</t>
  </si>
  <si>
    <t>pt_250_4_keyFix_3_4_dorianGray.txt</t>
  </si>
  <si>
    <t>pt_250_4_keyFix_2_3_dorianGray.txt</t>
  </si>
  <si>
    <t>pt_250_4_keyFix_1_2_dorianGray.txt</t>
  </si>
  <si>
    <t>pt_250_3_keyFix_4_5_dorianGray.txt</t>
  </si>
  <si>
    <t>pt_250_3_keyFix_3_4_dorianGray.txt</t>
  </si>
  <si>
    <t>pt_250_3_keyFix_2_3_dorianGray.txt</t>
  </si>
  <si>
    <t>pt_250_3_keyFix_1_2_dorianGray.txt</t>
  </si>
  <si>
    <t>pt_250_2_keyFix_4_5_dorianGray.txt</t>
  </si>
  <si>
    <t>pt_250_2_keyFix_3_4_dorianGray.txt</t>
  </si>
  <si>
    <t>pt_250_2_keyFix_2_3_dorianGray.txt</t>
  </si>
  <si>
    <t>pt_250_2_keyFix_1_2_dorianGray.txt</t>
  </si>
  <si>
    <t>pt_250_1_keyFix_4_5_dorianGray.txt</t>
  </si>
  <si>
    <t>pt_250_1_keyFix_3_4_dorianGray.txt</t>
  </si>
  <si>
    <t>pt_250_1_keyFix_2_3_dorianGray.txt</t>
  </si>
  <si>
    <t>pt_250_1_keyFix_1_2_dorianGray.txt</t>
  </si>
  <si>
    <t>pt_250_10_keyFix_4_5_dorianGray.txt</t>
  </si>
  <si>
    <t>pt_250_10_keyFix_3_4_dorianGray.txt</t>
  </si>
  <si>
    <t>pt_250_10_keyFix_2_3_dorianGray.txt</t>
  </si>
  <si>
    <t>pt_250_10_keyFix_1_2_dorianGray.txt</t>
  </si>
  <si>
    <t>correct</t>
  </si>
  <si>
    <t>accuracy</t>
  </si>
  <si>
    <t>textLength</t>
  </si>
  <si>
    <t>cipherSymbols</t>
  </si>
  <si>
    <t>keyConst</t>
  </si>
  <si>
    <t>keyType</t>
  </si>
  <si>
    <t>filename</t>
  </si>
  <si>
    <t>FREQ</t>
  </si>
  <si>
    <t>pt_100_9_keyFreq_4_1.2_greatGatsby.txt</t>
  </si>
  <si>
    <t>pt_100_9_keyFreq_3_0.8999999999999999_greatGatsby.txt</t>
  </si>
  <si>
    <t>pt_100_9_keyFreq_2_0.6_greatGatsby.txt</t>
  </si>
  <si>
    <t>pt_100_9_keyFreq_1_0.3_greatGatsby.txt</t>
  </si>
  <si>
    <t>pt_100_8_keyFreq_4_1.2_greatGatsby.txt</t>
  </si>
  <si>
    <t>pt_100_8_keyFreq_3_0.8999999999999999_greatGatsby.txt</t>
  </si>
  <si>
    <t>pt_100_8_keyFreq_2_0.6_greatGatsby.txt</t>
  </si>
  <si>
    <t>pt_100_8_keyFreq_1_0.3_greatGatsby.txt</t>
  </si>
  <si>
    <t>pt_100_7_keyFreq_4_1.2_greatGatsby.txt</t>
  </si>
  <si>
    <t>pt_100_7_keyFreq_3_0.8999999999999999_greatGatsby.txt</t>
  </si>
  <si>
    <t>pt_100_7_keyFreq_2_0.6_greatGatsby.txt</t>
  </si>
  <si>
    <t>pt_100_7_keyFreq_1_0.3_greatGatsby.txt</t>
  </si>
  <si>
    <t>pt_100_6_keyFreq_4_1.2_greatGatsby.txt</t>
  </si>
  <si>
    <t>pt_100_6_keyFreq_3_0.8999999999999999_greatGatsby.txt</t>
  </si>
  <si>
    <t>pt_100_6_keyFreq_2_0.6_greatGatsby.txt</t>
  </si>
  <si>
    <t>pt_100_6_keyFreq_1_0.3_greatGatsby.txt</t>
  </si>
  <si>
    <t>pt_100_5_keyFreq_4_1.2_greatGatsby.txt</t>
  </si>
  <si>
    <t>pt_100_5_keyFreq_3_0.8999999999999999_greatGatsby.txt</t>
  </si>
  <si>
    <t>pt_100_5_keyFreq_2_0.6_greatGatsby.txt</t>
  </si>
  <si>
    <t>pt_100_5_keyFreq_1_0.3_greatGatsby.txt</t>
  </si>
  <si>
    <t>pt_100_4_keyFreq_4_1.2_greatGatsby.txt</t>
  </si>
  <si>
    <t>pt_100_4_keyFreq_3_0.8999999999999999_greatGatsby.txt</t>
  </si>
  <si>
    <t>pt_100_4_keyFreq_2_0.6_greatGatsby.txt</t>
  </si>
  <si>
    <t>pt_100_4_keyFreq_1_0.3_greatGatsby.txt</t>
  </si>
  <si>
    <t>pt_100_3_keyFreq_4_1.2_greatGatsby.txt</t>
  </si>
  <si>
    <t>pt_100_3_keyFreq_3_0.8999999999999999_greatGatsby.txt</t>
  </si>
  <si>
    <t>pt_100_3_keyFreq_2_0.6_greatGatsby.txt</t>
  </si>
  <si>
    <t>pt_100_3_keyFreq_1_0.3_greatGatsby.txt</t>
  </si>
  <si>
    <t>pt_100_2_keyFreq_4_1.2_greatGatsby.txt</t>
  </si>
  <si>
    <t>pt_100_2_keyFreq_3_0.8999999999999999_greatGatsby.txt</t>
  </si>
  <si>
    <t>pt_100_2_keyFreq_2_0.6_greatGatsby.txt</t>
  </si>
  <si>
    <t>pt_100_2_keyFreq_1_0.3_greatGatsby.txt</t>
  </si>
  <si>
    <t>pt_100_1_keyFreq_4_1.2_greatGatsby.txt</t>
  </si>
  <si>
    <t>pt_100_1_keyFreq_3_0.8999999999999999_greatGatsby.txt</t>
  </si>
  <si>
    <t>pt_100_1_keyFreq_2_0.6_greatGatsby.txt</t>
  </si>
  <si>
    <t>pt_100_1_keyFreq_1_0.3_greatGatsby.txt</t>
  </si>
  <si>
    <t>pt_100_10_keyFreq_4_1.2_greatGatsby.txt</t>
  </si>
  <si>
    <t>pt_100_10_keyFreq_3_0.8999999999999999_greatGatsby.txt</t>
  </si>
  <si>
    <t>pt_100_10_keyFreq_2_0.6_greatGatsby.txt</t>
  </si>
  <si>
    <t>pt_100_10_keyFreq_1_0.3_greatGatsby.txt</t>
  </si>
  <si>
    <t>pt_100_9_keyFreq_4_1.2_frankenstein.txt</t>
  </si>
  <si>
    <t>pt_100_9_keyFreq_3_0.8999999999999999_frankenstein.txt</t>
  </si>
  <si>
    <t>pt_100_9_keyFreq_2_0.6_frankenstein.txt</t>
  </si>
  <si>
    <t>pt_100_9_keyFreq_1_0.3_frankenstein.txt</t>
  </si>
  <si>
    <t>pt_100_8_keyFreq_4_1.2_frankenstein.txt</t>
  </si>
  <si>
    <t>pt_100_8_keyFreq_3_0.8999999999999999_frankenstein.txt</t>
  </si>
  <si>
    <t>pt_100_8_keyFreq_2_0.6_frankenstein.txt</t>
  </si>
  <si>
    <t>pt_100_8_keyFreq_1_0.3_frankenstein.txt</t>
  </si>
  <si>
    <t>pt_100_7_keyFreq_4_1.2_frankenstein.txt</t>
  </si>
  <si>
    <t>pt_100_7_keyFreq_3_0.8999999999999999_frankenstein.txt</t>
  </si>
  <si>
    <t>pt_100_7_keyFreq_2_0.6_frankenstein.txt</t>
  </si>
  <si>
    <t>pt_100_7_keyFreq_1_0.3_frankenstein.txt</t>
  </si>
  <si>
    <t>pt_100_6_keyFreq_4_1.2_frankenstein.txt</t>
  </si>
  <si>
    <t>pt_100_6_keyFreq_3_0.8999999999999999_frankenstein.txt</t>
  </si>
  <si>
    <t>pt_100_6_keyFreq_2_0.6_frankenstein.txt</t>
  </si>
  <si>
    <t>pt_100_6_keyFreq_1_0.3_frankenstein.txt</t>
  </si>
  <si>
    <t>pt_100_5_keyFreq_4_1.2_frankenstein.txt</t>
  </si>
  <si>
    <t>pt_100_5_keyFreq_3_0.8999999999999999_frankenstein.txt</t>
  </si>
  <si>
    <t>pt_100_5_keyFreq_2_0.6_frankenstein.txt</t>
  </si>
  <si>
    <t>pt_100_5_keyFreq_1_0.3_frankenstein.txt</t>
  </si>
  <si>
    <t>pt_100_4_keyFreq_4_1.2_frankenstein.txt</t>
  </si>
  <si>
    <t>pt_100_4_keyFreq_3_0.8999999999999999_frankenstein.txt</t>
  </si>
  <si>
    <t>pt_100_4_keyFreq_2_0.6_frankenstein.txt</t>
  </si>
  <si>
    <t>pt_100_4_keyFreq_1_0.3_frankenstein.txt</t>
  </si>
  <si>
    <t>pt_100_3_keyFreq_4_1.2_frankenstein.txt</t>
  </si>
  <si>
    <t>pt_100_3_keyFreq_3_0.8999999999999999_frankenstein.txt</t>
  </si>
  <si>
    <t>pt_100_3_keyFreq_2_0.6_frankenstein.txt</t>
  </si>
  <si>
    <t>pt_100_3_keyFreq_1_0.3_frankenstein.txt</t>
  </si>
  <si>
    <t>pt_100_2_keyFreq_4_1.2_frankenstein.txt</t>
  </si>
  <si>
    <t>pt_100_2_keyFreq_3_0.8999999999999999_frankenstein.txt</t>
  </si>
  <si>
    <t>pt_100_2_keyFreq_2_0.6_frankenstein.txt</t>
  </si>
  <si>
    <t>pt_100_2_keyFreq_1_0.3_frankenstein.txt</t>
  </si>
  <si>
    <t>pt_100_1_keyFreq_4_1.2_frankenstein.txt</t>
  </si>
  <si>
    <t>pt_100_1_keyFreq_3_0.8999999999999999_frankenstein.txt</t>
  </si>
  <si>
    <t>pt_100_1_keyFreq_2_0.6_frankenstein.txt</t>
  </si>
  <si>
    <t>pt_100_1_keyFreq_1_0.3_frankenstein.txt</t>
  </si>
  <si>
    <t>pt_100_10_keyFreq_4_1.2_frankenstein.txt</t>
  </si>
  <si>
    <t>pt_100_10_keyFreq_3_0.8999999999999999_frankenstein.txt</t>
  </si>
  <si>
    <t>pt_100_10_keyFreq_2_0.6_frankenstein.txt</t>
  </si>
  <si>
    <t>pt_100_10_keyFreq_1_0.3_frankenstein.txt</t>
  </si>
  <si>
    <t>pt_100_9_keyFreq_4_1.2_dorianGray.txt</t>
  </si>
  <si>
    <t>pt_100_9_keyFreq_3_0.8999999999999999_dorianGray.txt</t>
  </si>
  <si>
    <t>pt_100_9_keyFreq_2_0.6_dorianGray.txt</t>
  </si>
  <si>
    <t>pt_100_9_keyFreq_1_0.3_dorianGray.txt</t>
  </si>
  <si>
    <t>pt_100_8_keyFreq_4_1.2_dorianGray.txt</t>
  </si>
  <si>
    <t>pt_100_8_keyFreq_3_0.8999999999999999_dorianGray.txt</t>
  </si>
  <si>
    <t>pt_100_8_keyFreq_2_0.6_dorianGray.txt</t>
  </si>
  <si>
    <t>pt_100_8_keyFreq_1_0.3_dorianGray.txt</t>
  </si>
  <si>
    <t>pt_100_7_keyFreq_4_1.2_dorianGray.txt</t>
  </si>
  <si>
    <t>pt_100_7_keyFreq_3_0.8999999999999999_dorianGray.txt</t>
  </si>
  <si>
    <t>pt_100_7_keyFreq_2_0.6_dorianGray.txt</t>
  </si>
  <si>
    <t>pt_100_7_keyFreq_1_0.3_dorianGray.txt</t>
  </si>
  <si>
    <t>pt_100_6_keyFreq_4_1.2_dorianGray.txt</t>
  </si>
  <si>
    <t>pt_100_6_keyFreq_3_0.8999999999999999_dorianGray.txt</t>
  </si>
  <si>
    <t>pt_100_6_keyFreq_2_0.6_dorianGray.txt</t>
  </si>
  <si>
    <t>pt_100_6_keyFreq_1_0.3_dorianGray.txt</t>
  </si>
  <si>
    <t>pt_100_5_keyFreq_4_1.2_dorianGray.txt</t>
  </si>
  <si>
    <t>pt_100_5_keyFreq_3_0.8999999999999999_dorianGray.txt</t>
  </si>
  <si>
    <t>pt_100_5_keyFreq_2_0.6_dorianGray.txt</t>
  </si>
  <si>
    <t>pt_100_5_keyFreq_1_0.3_dorianGray.txt</t>
  </si>
  <si>
    <t>pt_100_4_keyFreq_4_1.2_dorianGray.txt</t>
  </si>
  <si>
    <t>pt_100_4_keyFreq_3_0.8999999999999999_dorianGray.txt</t>
  </si>
  <si>
    <t>pt_100_4_keyFreq_2_0.6_dorianGray.txt</t>
  </si>
  <si>
    <t>pt_100_4_keyFreq_1_0.3_dorianGray.txt</t>
  </si>
  <si>
    <t>pt_100_3_keyFreq_4_1.2_dorianGray.txt</t>
  </si>
  <si>
    <t>pt_100_3_keyFreq_3_0.8999999999999999_dorianGray.txt</t>
  </si>
  <si>
    <t>pt_100_3_keyFreq_2_0.6_dorianGray.txt</t>
  </si>
  <si>
    <t>pt_100_3_keyFreq_1_0.3_dorianGray.txt</t>
  </si>
  <si>
    <t>pt_100_2_keyFreq_4_1.2_dorianGray.txt</t>
  </si>
  <si>
    <t>pt_100_2_keyFreq_3_0.8999999999999999_dorianGray.txt</t>
  </si>
  <si>
    <t>pt_100_2_keyFreq_2_0.6_dorianGray.txt</t>
  </si>
  <si>
    <t>pt_100_2_keyFreq_1_0.3_dorianGray.txt</t>
  </si>
  <si>
    <t>pt_100_1_keyFreq_4_1.2_dorianGray.txt</t>
  </si>
  <si>
    <t>pt_100_1_keyFreq_3_0.8999999999999999_dorianGray.txt</t>
  </si>
  <si>
    <t>pt_100_1_keyFreq_2_0.6_dorianGray.txt</t>
  </si>
  <si>
    <t>pt_100_1_keyFreq_1_0.3_dorianGray.txt</t>
  </si>
  <si>
    <t>pt_100_10_keyFreq_4_1.2_dorianGray.txt</t>
  </si>
  <si>
    <t>pt_100_10_keyFreq_3_0.8999999999999999_dorianGray.txt</t>
  </si>
  <si>
    <t>pt_100_10_keyFreq_2_0.6_dorianGray.txt</t>
  </si>
  <si>
    <t>pt_100_10_keyFreq_1_0.3_dorianGray.txt</t>
  </si>
  <si>
    <t>pt_250_9_keyFreq_4_1.2_greatGatsby.txt</t>
  </si>
  <si>
    <t>pt_250_9_keyFreq_3_0.8999999999999999_greatGatsby.txt</t>
  </si>
  <si>
    <t>pt_250_9_keyFreq_2_0.6_greatGatsby.txt</t>
  </si>
  <si>
    <t>pt_250_9_keyFreq_1_0.3_greatGatsby.txt</t>
  </si>
  <si>
    <t>pt_250_8_keyFreq_4_1.2_greatGatsby.txt</t>
  </si>
  <si>
    <t>pt_250_8_keyFreq_3_0.8999999999999999_greatGatsby.txt</t>
  </si>
  <si>
    <t>pt_250_8_keyFreq_2_0.6_greatGatsby.txt</t>
  </si>
  <si>
    <t>pt_250_8_keyFreq_1_0.3_greatGatsby.txt</t>
  </si>
  <si>
    <t>pt_250_7_keyFreq_4_1.2_greatGatsby.txt</t>
  </si>
  <si>
    <t>pt_250_7_keyFreq_3_0.8999999999999999_greatGatsby.txt</t>
  </si>
  <si>
    <t>pt_250_7_keyFreq_2_0.6_greatGatsby.txt</t>
  </si>
  <si>
    <t>pt_250_7_keyFreq_1_0.3_greatGatsby.txt</t>
  </si>
  <si>
    <t>pt_250_6_keyFreq_4_1.2_greatGatsby.txt</t>
  </si>
  <si>
    <t>pt_250_6_keyFreq_3_0.8999999999999999_greatGatsby.txt</t>
  </si>
  <si>
    <t>pt_250_6_keyFreq_2_0.6_greatGatsby.txt</t>
  </si>
  <si>
    <t>pt_250_6_keyFreq_1_0.3_greatGatsby.txt</t>
  </si>
  <si>
    <t>pt_250_5_keyFreq_4_1.2_greatGatsby.txt</t>
  </si>
  <si>
    <t>pt_250_5_keyFreq_3_0.8999999999999999_greatGatsby.txt</t>
  </si>
  <si>
    <t>pt_250_5_keyFreq_2_0.6_greatGatsby.txt</t>
  </si>
  <si>
    <t>pt_250_5_keyFreq_1_0.3_greatGatsby.txt</t>
  </si>
  <si>
    <t>pt_250_4_keyFreq_4_1.2_greatGatsby.txt</t>
  </si>
  <si>
    <t>pt_250_4_keyFreq_3_0.8999999999999999_greatGatsby.txt</t>
  </si>
  <si>
    <t>pt_250_4_keyFreq_2_0.6_greatGatsby.txt</t>
  </si>
  <si>
    <t>pt_250_4_keyFreq_1_0.3_greatGatsby.txt</t>
  </si>
  <si>
    <t>pt_250_3_keyFreq_4_1.2_greatGatsby.txt</t>
  </si>
  <si>
    <t>pt_250_3_keyFreq_3_0.8999999999999999_greatGatsby.txt</t>
  </si>
  <si>
    <t>pt_250_3_keyFreq_2_0.6_greatGatsby.txt</t>
  </si>
  <si>
    <t>pt_250_3_keyFreq_1_0.3_greatGatsby.txt</t>
  </si>
  <si>
    <t>pt_250_2_keyFreq_4_1.2_greatGatsby.txt</t>
  </si>
  <si>
    <t>pt_250_2_keyFreq_3_0.8999999999999999_greatGatsby.txt</t>
  </si>
  <si>
    <t>pt_250_2_keyFreq_2_0.6_greatGatsby.txt</t>
  </si>
  <si>
    <t>pt_250_2_keyFreq_1_0.3_greatGatsby.txt</t>
  </si>
  <si>
    <t>pt_250_1_keyFreq_4_1.2_greatGatsby.txt</t>
  </si>
  <si>
    <t>pt_250_1_keyFreq_3_0.8999999999999999_greatGatsby.txt</t>
  </si>
  <si>
    <t>pt_250_1_keyFreq_2_0.6_greatGatsby.txt</t>
  </si>
  <si>
    <t>pt_250_1_keyFreq_1_0.3_greatGatsby.txt</t>
  </si>
  <si>
    <t>pt_250_10_keyFreq_4_1.2_greatGatsby.txt</t>
  </si>
  <si>
    <t>pt_250_10_keyFreq_3_0.8999999999999999_greatGatsby.txt</t>
  </si>
  <si>
    <t>pt_250_10_keyFreq_2_0.6_greatGatsby.txt</t>
  </si>
  <si>
    <t>pt_250_10_keyFreq_1_0.3_greatGatsby.txt</t>
  </si>
  <si>
    <t>pt_250_9_keyFreq_4_1.2_frankenstein.txt</t>
  </si>
  <si>
    <t>pt_250_9_keyFreq_3_0.8999999999999999_frankenstein.txt</t>
  </si>
  <si>
    <t>pt_250_9_keyFreq_2_0.6_frankenstein.txt</t>
  </si>
  <si>
    <t>pt_250_9_keyFreq_1_0.3_frankenstein.txt</t>
  </si>
  <si>
    <t>pt_250_8_keyFreq_4_1.2_frankenstein.txt</t>
  </si>
  <si>
    <t>pt_250_8_keyFreq_3_0.8999999999999999_frankenstein.txt</t>
  </si>
  <si>
    <t>pt_250_8_keyFreq_2_0.6_frankenstein.txt</t>
  </si>
  <si>
    <t>pt_250_8_keyFreq_1_0.3_frankenstein.txt</t>
  </si>
  <si>
    <t>pt_250_7_keyFreq_4_1.2_frankenstein.txt</t>
  </si>
  <si>
    <t>pt_250_7_keyFreq_3_0.8999999999999999_frankenstein.txt</t>
  </si>
  <si>
    <t>pt_250_7_keyFreq_2_0.6_frankenstein.txt</t>
  </si>
  <si>
    <t>pt_250_7_keyFreq_1_0.3_frankenstein.txt</t>
  </si>
  <si>
    <t>pt_250_6_keyFreq_4_1.2_frankenstein.txt</t>
  </si>
  <si>
    <t>pt_250_6_keyFreq_3_0.8999999999999999_frankenstein.txt</t>
  </si>
  <si>
    <t>pt_250_6_keyFreq_2_0.6_frankenstein.txt</t>
  </si>
  <si>
    <t>pt_250_6_keyFreq_1_0.3_frankenstein.txt</t>
  </si>
  <si>
    <t>pt_250_5_keyFreq_4_1.2_frankenstein.txt</t>
  </si>
  <si>
    <t>pt_250_5_keyFreq_3_0.8999999999999999_frankenstein.txt</t>
  </si>
  <si>
    <t>pt_250_5_keyFreq_2_0.6_frankenstein.txt</t>
  </si>
  <si>
    <t>pt_250_5_keyFreq_1_0.3_frankenstein.txt</t>
  </si>
  <si>
    <t>pt_250_4_keyFreq_4_1.2_frankenstein.txt</t>
  </si>
  <si>
    <t>pt_250_4_keyFreq_3_0.8999999999999999_frankenstein.txt</t>
  </si>
  <si>
    <t>pt_250_4_keyFreq_2_0.6_frankenstein.txt</t>
  </si>
  <si>
    <t>pt_250_4_keyFreq_1_0.3_frankenstein.txt</t>
  </si>
  <si>
    <t>pt_250_3_keyFreq_4_1.2_frankenstein.txt</t>
  </si>
  <si>
    <t>pt_250_3_keyFreq_3_0.8999999999999999_frankenstein.txt</t>
  </si>
  <si>
    <t>pt_250_3_keyFreq_2_0.6_frankenstein.txt</t>
  </si>
  <si>
    <t>pt_250_3_keyFreq_1_0.3_frankenstein.txt</t>
  </si>
  <si>
    <t>pt_250_2_keyFreq_4_1.2_frankenstein.txt</t>
  </si>
  <si>
    <t>pt_250_2_keyFreq_3_0.8999999999999999_frankenstein.txt</t>
  </si>
  <si>
    <t>pt_250_2_keyFreq_2_0.6_frankenstein.txt</t>
  </si>
  <si>
    <t>pt_250_2_keyFreq_1_0.3_frankenstein.txt</t>
  </si>
  <si>
    <t>pt_250_1_keyFreq_4_1.2_frankenstein.txt</t>
  </si>
  <si>
    <t>pt_250_1_keyFreq_3_0.8999999999999999_frankenstein.txt</t>
  </si>
  <si>
    <t>pt_250_1_keyFreq_2_0.6_frankenstein.txt</t>
  </si>
  <si>
    <t>pt_250_1_keyFreq_1_0.3_frankenstein.txt</t>
  </si>
  <si>
    <t>pt_250_10_keyFreq_4_1.2_frankenstein.txt</t>
  </si>
  <si>
    <t>pt_250_10_keyFreq_3_0.8999999999999999_frankenstein.txt</t>
  </si>
  <si>
    <t>pt_250_10_keyFreq_2_0.6_frankenstein.txt</t>
  </si>
  <si>
    <t>pt_250_10_keyFreq_1_0.3_frankenstein.txt</t>
  </si>
  <si>
    <t>pt_250_9_keyFreq_4_1.2_dorianGray.txt</t>
  </si>
  <si>
    <t>pt_250_9_keyFreq_3_0.8999999999999999_dorianGray.txt</t>
  </si>
  <si>
    <t>pt_250_9_keyFreq_2_0.6_dorianGray.txt</t>
  </si>
  <si>
    <t>pt_250_9_keyFreq_1_0.3_dorianGray.txt</t>
  </si>
  <si>
    <t>pt_250_8_keyFreq_4_1.2_dorianGray.txt</t>
  </si>
  <si>
    <t>pt_250_8_keyFreq_3_0.8999999999999999_dorianGray.txt</t>
  </si>
  <si>
    <t>pt_250_8_keyFreq_2_0.6_dorianGray.txt</t>
  </si>
  <si>
    <t>pt_250_8_keyFreq_1_0.3_dorianGray.txt</t>
  </si>
  <si>
    <t>pt_250_7_keyFreq_4_1.2_dorianGray.txt</t>
  </si>
  <si>
    <t>pt_250_7_keyFreq_3_0.8999999999999999_dorianGray.txt</t>
  </si>
  <si>
    <t>pt_250_7_keyFreq_2_0.6_dorianGray.txt</t>
  </si>
  <si>
    <t>pt_250_7_keyFreq_1_0.3_dorianGray.txt</t>
  </si>
  <si>
    <t>pt_250_6_keyFreq_4_1.2_dorianGray.txt</t>
  </si>
  <si>
    <t>pt_250_6_keyFreq_3_0.8999999999999999_dorianGray.txt</t>
  </si>
  <si>
    <t>pt_250_6_keyFreq_2_0.6_dorianGray.txt</t>
  </si>
  <si>
    <t>pt_250_6_keyFreq_1_0.3_dorianGray.txt</t>
  </si>
  <si>
    <t>pt_250_5_keyFreq_4_1.2_dorianGray.txt</t>
  </si>
  <si>
    <t>pt_250_5_keyFreq_3_0.8999999999999999_dorianGray.txt</t>
  </si>
  <si>
    <t>pt_250_5_keyFreq_2_0.6_dorianGray.txt</t>
  </si>
  <si>
    <t>pt_250_5_keyFreq_1_0.3_dorianGray.txt</t>
  </si>
  <si>
    <t>pt_250_4_keyFreq_4_1.2_dorianGray.txt</t>
  </si>
  <si>
    <t>pt_250_4_keyFreq_3_0.8999999999999999_dorianGray.txt</t>
  </si>
  <si>
    <t>pt_250_4_keyFreq_2_0.6_dorianGray.txt</t>
  </si>
  <si>
    <t>pt_250_4_keyFreq_1_0.3_dorianGray.txt</t>
  </si>
  <si>
    <t>pt_250_3_keyFreq_4_1.2_dorianGray.txt</t>
  </si>
  <si>
    <t>pt_250_3_keyFreq_3_0.8999999999999999_dorianGray.txt</t>
  </si>
  <si>
    <t>pt_250_3_keyFreq_2_0.6_dorianGray.txt</t>
  </si>
  <si>
    <t>pt_250_3_keyFreq_1_0.3_dorianGray.txt</t>
  </si>
  <si>
    <t>pt_250_2_keyFreq_4_1.2_dorianGray.txt</t>
  </si>
  <si>
    <t>pt_250_2_keyFreq_3_0.8999999999999999_dorianGray.txt</t>
  </si>
  <si>
    <t>pt_250_2_keyFreq_2_0.6_dorianGray.txt</t>
  </si>
  <si>
    <t>pt_250_2_keyFreq_1_0.3_dorianGray.txt</t>
  </si>
  <si>
    <t>pt_250_1_keyFreq_4_1.2_dorianGray.txt</t>
  </si>
  <si>
    <t>pt_250_1_keyFreq_3_0.8999999999999999_dorianGray.txt</t>
  </si>
  <si>
    <t>pt_250_1_keyFreq_2_0.6_dorianGray.txt</t>
  </si>
  <si>
    <t>pt_250_1_keyFreq_1_0.3_dorianGray.txt</t>
  </si>
  <si>
    <t>pt_250_10_keyFreq_4_1.2_dorianGray.txt</t>
  </si>
  <si>
    <t>pt_250_10_keyFreq_3_0.8999999999999999_dorianGray.txt</t>
  </si>
  <si>
    <t>pt_250_10_keyFreq_2_0.6_dorianGray.txt</t>
  </si>
  <si>
    <t>pt_250_10_keyFreq_1_0.3_dorianGray.txt</t>
  </si>
  <si>
    <t>pt_500_9_keyFreq_4_1.2_greatGatsby.txt</t>
  </si>
  <si>
    <t>pt_500_9_keyFreq_3_0.8999999999999999_greatGatsby.txt</t>
  </si>
  <si>
    <t>pt_500_9_keyFreq_2_0.6_greatGatsby.txt</t>
  </si>
  <si>
    <t>pt_500_9_keyFreq_1_0.3_greatGatsby.txt</t>
  </si>
  <si>
    <t>pt_500_8_keyFreq_4_1.2_greatGatsby.txt</t>
  </si>
  <si>
    <t>pt_500_8_keyFreq_3_0.8999999999999999_greatGatsby.txt</t>
  </si>
  <si>
    <t>pt_500_8_keyFreq_2_0.6_greatGatsby.txt</t>
  </si>
  <si>
    <t>pt_500_8_keyFreq_1_0.3_greatGatsby.txt</t>
  </si>
  <si>
    <t>pt_500_7_keyFreq_4_1.2_greatGatsby.txt</t>
  </si>
  <si>
    <t>pt_500_7_keyFreq_3_0.8999999999999999_greatGatsby.txt</t>
  </si>
  <si>
    <t>pt_500_7_keyFreq_2_0.6_greatGatsby.txt</t>
  </si>
  <si>
    <t>pt_500_7_keyFreq_1_0.3_greatGatsby.txt</t>
  </si>
  <si>
    <t>pt_500_6_keyFreq_4_1.2_greatGatsby.txt</t>
  </si>
  <si>
    <t>pt_500_6_keyFreq_3_0.8999999999999999_greatGatsby.txt</t>
  </si>
  <si>
    <t>pt_500_6_keyFreq_2_0.6_greatGatsby.txt</t>
  </si>
  <si>
    <t>pt_500_6_keyFreq_1_0.3_greatGatsby.txt</t>
  </si>
  <si>
    <t>pt_500_5_keyFreq_4_1.2_greatGatsby.txt</t>
  </si>
  <si>
    <t>pt_500_5_keyFreq_3_0.8999999999999999_greatGatsby.txt</t>
  </si>
  <si>
    <t>pt_500_5_keyFreq_2_0.6_greatGatsby.txt</t>
  </si>
  <si>
    <t>pt_500_5_keyFreq_1_0.3_greatGatsby.txt</t>
  </si>
  <si>
    <t>pt_500_4_keyFreq_4_1.2_greatGatsby.txt</t>
  </si>
  <si>
    <t>pt_500_4_keyFreq_3_0.8999999999999999_greatGatsby.txt</t>
  </si>
  <si>
    <t>pt_500_4_keyFreq_2_0.6_greatGatsby.txt</t>
  </si>
  <si>
    <t>pt_500_4_keyFreq_1_0.3_greatGatsby.txt</t>
  </si>
  <si>
    <t>pt_500_3_keyFreq_4_1.2_greatGatsby.txt</t>
  </si>
  <si>
    <t>pt_500_3_keyFreq_3_0.8999999999999999_greatGatsby.txt</t>
  </si>
  <si>
    <t>pt_500_3_keyFreq_2_0.6_greatGatsby.txt</t>
  </si>
  <si>
    <t>pt_500_3_keyFreq_1_0.3_greatGatsby.txt</t>
  </si>
  <si>
    <t>pt_500_2_keyFreq_4_1.2_greatGatsby.txt</t>
  </si>
  <si>
    <t>pt_500_2_keyFreq_3_0.8999999999999999_greatGatsby.txt</t>
  </si>
  <si>
    <t>pt_500_2_keyFreq_2_0.6_greatGatsby.txt</t>
  </si>
  <si>
    <t>pt_500_2_keyFreq_1_0.3_greatGatsby.txt</t>
  </si>
  <si>
    <t>pt_500_1_keyFreq_4_1.2_greatGatsby.txt</t>
  </si>
  <si>
    <t>pt_500_1_keyFreq_3_0.8999999999999999_greatGatsby.txt</t>
  </si>
  <si>
    <t>pt_500_1_keyFreq_2_0.6_greatGatsby.txt</t>
  </si>
  <si>
    <t>pt_500_1_keyFreq_1_0.3_greatGatsby.txt</t>
  </si>
  <si>
    <t>pt_500_10_keyFreq_4_1.2_greatGatsby.txt</t>
  </si>
  <si>
    <t>pt_500_10_keyFreq_3_0.8999999999999999_greatGatsby.txt</t>
  </si>
  <si>
    <t>pt_500_10_keyFreq_2_0.6_greatGatsby.txt</t>
  </si>
  <si>
    <t>pt_500_10_keyFreq_1_0.3_greatGatsby.txt</t>
  </si>
  <si>
    <t>pt_500_9_keyFreq_4_1.2_frankenstein.txt</t>
  </si>
  <si>
    <t>pt_500_9_keyFreq_3_0.8999999999999999_frankenstein.txt</t>
  </si>
  <si>
    <t>pt_500_9_keyFreq_2_0.6_frankenstein.txt</t>
  </si>
  <si>
    <t>pt_500_9_keyFreq_1_0.3_frankenstein.txt</t>
  </si>
  <si>
    <t>pt_500_8_keyFreq_4_1.2_frankenstein.txt</t>
  </si>
  <si>
    <t>pt_500_8_keyFreq_3_0.8999999999999999_frankenstein.txt</t>
  </si>
  <si>
    <t>pt_500_8_keyFreq_2_0.6_frankenstein.txt</t>
  </si>
  <si>
    <t>pt_500_8_keyFreq_1_0.3_frankenstein.txt</t>
  </si>
  <si>
    <t>pt_500_7_keyFreq_4_1.2_frankenstein.txt</t>
  </si>
  <si>
    <t>pt_500_7_keyFreq_3_0.8999999999999999_frankenstein.txt</t>
  </si>
  <si>
    <t>pt_500_7_keyFreq_2_0.6_frankenstein.txt</t>
  </si>
  <si>
    <t>pt_500_7_keyFreq_1_0.3_frankenstein.txt</t>
  </si>
  <si>
    <t>pt_500_6_keyFreq_4_1.2_frankenstein.txt</t>
  </si>
  <si>
    <t>pt_500_6_keyFreq_3_0.8999999999999999_frankenstein.txt</t>
  </si>
  <si>
    <t>pt_500_6_keyFreq_2_0.6_frankenstein.txt</t>
  </si>
  <si>
    <t>pt_500_6_keyFreq_1_0.3_frankenstein.txt</t>
  </si>
  <si>
    <t>pt_500_5_keyFreq_4_1.2_frankenstein.txt</t>
  </si>
  <si>
    <t>pt_500_5_keyFreq_3_0.8999999999999999_frankenstein.txt</t>
  </si>
  <si>
    <t>pt_500_5_keyFreq_2_0.6_frankenstein.txt</t>
  </si>
  <si>
    <t>pt_500_5_keyFreq_1_0.3_frankenstein.txt</t>
  </si>
  <si>
    <t>pt_500_4_keyFreq_4_1.2_frankenstein.txt</t>
  </si>
  <si>
    <t>pt_500_4_keyFreq_3_0.8999999999999999_frankenstein.txt</t>
  </si>
  <si>
    <t>pt_500_4_keyFreq_2_0.6_frankenstein.txt</t>
  </si>
  <si>
    <t>pt_500_4_keyFreq_1_0.3_frankenstein.txt</t>
  </si>
  <si>
    <t>pt_500_3_keyFreq_4_1.2_frankenstein.txt</t>
  </si>
  <si>
    <t>pt_500_3_keyFreq_3_0.8999999999999999_frankenstein.txt</t>
  </si>
  <si>
    <t>pt_500_3_keyFreq_2_0.6_frankenstein.txt</t>
  </si>
  <si>
    <t>pt_500_3_keyFreq_1_0.3_frankenstein.txt</t>
  </si>
  <si>
    <t>pt_500_2_keyFreq_4_1.2_frankenstein.txt</t>
  </si>
  <si>
    <t>pt_500_2_keyFreq_3_0.8999999999999999_frankenstein.txt</t>
  </si>
  <si>
    <t>pt_500_2_keyFreq_2_0.6_frankenstein.txt</t>
  </si>
  <si>
    <t>pt_500_2_keyFreq_1_0.3_frankenstein.txt</t>
  </si>
  <si>
    <t>pt_500_1_keyFreq_4_1.2_frankenstein.txt</t>
  </si>
  <si>
    <t>pt_500_1_keyFreq_3_0.8999999999999999_frankenstein.txt</t>
  </si>
  <si>
    <t>pt_500_1_keyFreq_2_0.6_frankenstein.txt</t>
  </si>
  <si>
    <t>pt_500_1_keyFreq_1_0.3_frankenstein.txt</t>
  </si>
  <si>
    <t>pt_500_10_keyFreq_4_1.2_frankenstein.txt</t>
  </si>
  <si>
    <t>pt_500_10_keyFreq_3_0.8999999999999999_frankenstein.txt</t>
  </si>
  <si>
    <t>pt_500_10_keyFreq_2_0.6_frankenstein.txt</t>
  </si>
  <si>
    <t>pt_500_10_keyFreq_1_0.3_frankenstein.txt</t>
  </si>
  <si>
    <t>pt_500_9_keyFreq_4_1.2_dorianGray.txt</t>
  </si>
  <si>
    <t>pt_500_9_keyFreq_3_0.8999999999999999_dorianGray.txt</t>
  </si>
  <si>
    <t>pt_500_9_keyFreq_2_0.6_dorianGray.txt</t>
  </si>
  <si>
    <t>pt_500_9_keyFreq_1_0.3_dorianGray.txt</t>
  </si>
  <si>
    <t>pt_500_8_keyFreq_4_1.2_dorianGray.txt</t>
  </si>
  <si>
    <t>pt_500_8_keyFreq_3_0.8999999999999999_dorianGray.txt</t>
  </si>
  <si>
    <t>pt_500_8_keyFreq_2_0.6_dorianGray.txt</t>
  </si>
  <si>
    <t>pt_500_8_keyFreq_1_0.3_dorianGray.txt</t>
  </si>
  <si>
    <t>pt_500_7_keyFreq_4_1.2_dorianGray.txt</t>
  </si>
  <si>
    <t>pt_500_7_keyFreq_3_0.8999999999999999_dorianGray.txt</t>
  </si>
  <si>
    <t>pt_500_7_keyFreq_2_0.6_dorianGray.txt</t>
  </si>
  <si>
    <t>pt_500_7_keyFreq_1_0.3_dorianGray.txt</t>
  </si>
  <si>
    <t>pt_500_6_keyFreq_4_1.2_dorianGray.txt</t>
  </si>
  <si>
    <t>pt_500_6_keyFreq_3_0.8999999999999999_dorianGray.txt</t>
  </si>
  <si>
    <t>pt_500_6_keyFreq_2_0.6_dorianGray.txt</t>
  </si>
  <si>
    <t>pt_500_6_keyFreq_1_0.3_dorianGray.txt</t>
  </si>
  <si>
    <t>pt_500_5_keyFreq_4_1.2_dorianGray.txt</t>
  </si>
  <si>
    <t>pt_500_5_keyFreq_3_0.8999999999999999_dorianGray.txt</t>
  </si>
  <si>
    <t>pt_500_5_keyFreq_2_0.6_dorianGray.txt</t>
  </si>
  <si>
    <t>pt_500_5_keyFreq_1_0.3_dorianGray.txt</t>
  </si>
  <si>
    <t>pt_500_4_keyFreq_4_1.2_dorianGray.txt</t>
  </si>
  <si>
    <t>pt_500_4_keyFreq_3_0.8999999999999999_dorianGray.txt</t>
  </si>
  <si>
    <t>pt_500_4_keyFreq_2_0.6_dorianGray.txt</t>
  </si>
  <si>
    <t>pt_500_4_keyFreq_1_0.3_dorianGray.txt</t>
  </si>
  <si>
    <t>pt_500_3_keyFreq_4_1.2_dorianGray.txt</t>
  </si>
  <si>
    <t>pt_500_3_keyFreq_3_0.8999999999999999_dorianGray.txt</t>
  </si>
  <si>
    <t>pt_500_3_keyFreq_2_0.6_dorianGray.txt</t>
  </si>
  <si>
    <t>pt_500_3_keyFreq_1_0.3_dorianGray.txt</t>
  </si>
  <si>
    <t>pt_500_2_keyFreq_4_1.2_dorianGray.txt</t>
  </si>
  <si>
    <t>pt_500_2_keyFreq_3_0.8999999999999999_dorianGray.txt</t>
  </si>
  <si>
    <t>pt_500_2_keyFreq_2_0.6_dorianGray.txt</t>
  </si>
  <si>
    <t>pt_500_2_keyFreq_1_0.3_dorianGray.txt</t>
  </si>
  <si>
    <t>pt_500_1_keyFreq_4_1.2_dorianGray.txt</t>
  </si>
  <si>
    <t>pt_500_1_keyFreq_3_0.8999999999999999_dorianGray.txt</t>
  </si>
  <si>
    <t>pt_500_1_keyFreq_2_0.6_dorianGray.txt</t>
  </si>
  <si>
    <t>pt_500_1_keyFreq_1_0.3_dorianGray.txt</t>
  </si>
  <si>
    <t>pt_500_10_keyFreq_4_1.2_dorianGray.txt</t>
  </si>
  <si>
    <t>pt_500_10_keyFreq_3_0.8999999999999999_dorianGray.txt</t>
  </si>
  <si>
    <t>pt_500_10_keyFreq_2_0.6_dorianGray.txt</t>
  </si>
  <si>
    <t>pt_500_10_keyFreq_1_0.3_dorianGray.txt</t>
  </si>
  <si>
    <t>pt_1000_9_keyFix_4_5_greatGatsby.txt</t>
  </si>
  <si>
    <t>pt_1000_9_keyFix_3_4_greatGatsby.txt</t>
  </si>
  <si>
    <t>pt_1000_9_keyFix_2_3_greatGatsby.txt</t>
  </si>
  <si>
    <t>pt_1000_9_keyFix_1_2_greatGatsby.txt</t>
  </si>
  <si>
    <t>pt_1000_8_keyFix_4_5_greatGatsby.txt</t>
  </si>
  <si>
    <t>pt_1000_8_keyFix_3_4_greatGatsby.txt</t>
  </si>
  <si>
    <t>pt_1000_8_keyFix_2_3_greatGatsby.txt</t>
  </si>
  <si>
    <t>pt_1000_8_keyFix_1_2_greatGatsby.txt</t>
  </si>
  <si>
    <t>pt_1000_7_keyFix_4_5_greatGatsby.txt</t>
  </si>
  <si>
    <t>pt_1000_7_keyFix_3_4_greatGatsby.txt</t>
  </si>
  <si>
    <t>pt_1000_7_keyFix_2_3_greatGatsby.txt</t>
  </si>
  <si>
    <t>pt_1000_7_keyFix_1_2_greatGatsby.txt</t>
  </si>
  <si>
    <t>pt_1000_6_keyFix_4_5_greatGatsby.txt</t>
  </si>
  <si>
    <t>pt_1000_6_keyFix_3_4_greatGatsby.txt</t>
  </si>
  <si>
    <t>pt_1000_6_keyFix_2_3_greatGatsby.txt</t>
  </si>
  <si>
    <t>pt_1000_6_keyFix_1_2_greatGatsby.txt</t>
  </si>
  <si>
    <t>pt_1000_5_keyFix_4_5_greatGatsby.txt</t>
  </si>
  <si>
    <t>pt_1000_5_keyFix_3_4_greatGatsby.txt</t>
  </si>
  <si>
    <t>pt_1000_5_keyFix_2_3_greatGatsby.txt</t>
  </si>
  <si>
    <t>pt_1000_5_keyFix_1_2_greatGatsby.txt</t>
  </si>
  <si>
    <t>pt_1000_4_keyFix_4_5_greatGatsby.txt</t>
  </si>
  <si>
    <t>pt_1000_4_keyFix_3_4_greatGatsby.txt</t>
  </si>
  <si>
    <t>pt_1000_4_keyFix_2_3_greatGatsby.txt</t>
  </si>
  <si>
    <t>pt_1000_4_keyFix_1_2_greatGatsby.txt</t>
  </si>
  <si>
    <t>pt_1000_3_keyFix_4_5_greatGatsby.txt</t>
  </si>
  <si>
    <t>pt_1000_3_keyFix_3_4_greatGatsby.txt</t>
  </si>
  <si>
    <t>pt_1000_3_keyFix_2_3_greatGatsby.txt</t>
  </si>
  <si>
    <t>pt_1000_3_keyFix_1_2_greatGatsby.txt</t>
  </si>
  <si>
    <t>pt_1000_2_keyFix_4_5_greatGatsby.txt</t>
  </si>
  <si>
    <t>pt_1000_2_keyFix_3_4_greatGatsby.txt</t>
  </si>
  <si>
    <t>pt_1000_2_keyFix_2_3_greatGatsby.txt</t>
  </si>
  <si>
    <t>pt_1000_2_keyFix_1_2_greatGatsby.txt</t>
  </si>
  <si>
    <t>pt_1000_1_keyFix_4_5_greatGatsby.txt</t>
  </si>
  <si>
    <t>pt_1000_1_keyFix_3_4_greatGatsby.txt</t>
  </si>
  <si>
    <t>pt_1000_1_keyFix_2_3_greatGatsby.txt</t>
  </si>
  <si>
    <t>pt_1000_1_keyFix_1_2_greatGatsby.txt</t>
  </si>
  <si>
    <t>pt_1000_10_keyFix_4_5_greatGatsby.txt</t>
  </si>
  <si>
    <t>pt_1000_10_keyFix_3_4_greatGatsby.txt</t>
  </si>
  <si>
    <t>pt_1000_10_keyFix_2_3_greatGatsby.txt</t>
  </si>
  <si>
    <t>pt_1000_10_keyFix_1_2_greatGatsby.txt</t>
  </si>
  <si>
    <t>pt_1000_9_keyFix_4_5_frankenstein.txt</t>
  </si>
  <si>
    <t>pt_1000_9_keyFix_3_4_frankenstein.txt</t>
  </si>
  <si>
    <t>pt_1000_9_keyFix_2_3_frankenstein.txt</t>
  </si>
  <si>
    <t>pt_1000_9_keyFix_1_2_frankenstein.txt</t>
  </si>
  <si>
    <t>pt_1000_8_keyFix_4_5_frankenstein.txt</t>
  </si>
  <si>
    <t>pt_1000_8_keyFix_3_4_frankenstein.txt</t>
  </si>
  <si>
    <t>pt_1000_8_keyFix_2_3_frankenstein.txt</t>
  </si>
  <si>
    <t>pt_1000_8_keyFix_1_2_frankenstein.txt</t>
  </si>
  <si>
    <t>pt_1000_7_keyFix_4_5_frankenstein.txt</t>
  </si>
  <si>
    <t>pt_1000_7_keyFix_3_4_frankenstein.txt</t>
  </si>
  <si>
    <t>pt_1000_7_keyFix_2_3_frankenstein.txt</t>
  </si>
  <si>
    <t>pt_1000_7_keyFix_1_2_frankenstein.txt</t>
  </si>
  <si>
    <t>pt_1000_6_keyFix_4_5_frankenstein.txt</t>
  </si>
  <si>
    <t>pt_1000_6_keyFix_3_4_frankenstein.txt</t>
  </si>
  <si>
    <t>pt_1000_6_keyFix_2_3_frankenstein.txt</t>
  </si>
  <si>
    <t>pt_1000_6_keyFix_1_2_frankenstein.txt</t>
  </si>
  <si>
    <t>pt_1000_5_keyFix_4_5_frankenstein.txt</t>
  </si>
  <si>
    <t>pt_1000_5_keyFix_3_4_frankenstein.txt</t>
  </si>
  <si>
    <t>pt_1000_5_keyFix_2_3_frankenstein.txt</t>
  </si>
  <si>
    <t>pt_1000_5_keyFix_1_2_frankenstein.txt</t>
  </si>
  <si>
    <t>pt_1000_4_keyFix_4_5_frankenstein.txt</t>
  </si>
  <si>
    <t>pt_1000_4_keyFix_3_4_frankenstein.txt</t>
  </si>
  <si>
    <t>pt_1000_4_keyFix_2_3_frankenstein.txt</t>
  </si>
  <si>
    <t>pt_1000_4_keyFix_1_2_frankenstein.txt</t>
  </si>
  <si>
    <t>pt_1000_3_keyFix_4_5_frankenstein.txt</t>
  </si>
  <si>
    <t>pt_1000_3_keyFix_3_4_frankenstein.txt</t>
  </si>
  <si>
    <t>pt_1000_3_keyFix_2_3_frankenstein.txt</t>
  </si>
  <si>
    <t>pt_1000_3_keyFix_1_2_frankenstein.txt</t>
  </si>
  <si>
    <t>pt_1000_2_keyFix_4_5_frankenstein.txt</t>
  </si>
  <si>
    <t>pt_1000_2_keyFix_3_4_frankenstein.txt</t>
  </si>
  <si>
    <t>pt_1000_2_keyFix_2_3_frankenstein.txt</t>
  </si>
  <si>
    <t>pt_1000_2_keyFix_1_2_frankenstein.txt</t>
  </si>
  <si>
    <t>pt_1000_1_keyFix_4_5_frankenstein.txt</t>
  </si>
  <si>
    <t>pt_1000_1_keyFix_3_4_frankenstein.txt</t>
  </si>
  <si>
    <t>pt_1000_1_keyFix_2_3_frankenstein.txt</t>
  </si>
  <si>
    <t>pt_1000_1_keyFix_1_2_frankenstein.txt</t>
  </si>
  <si>
    <t>pt_1000_10_keyFix_4_5_frankenstein.txt</t>
  </si>
  <si>
    <t>pt_1000_10_keyFix_3_4_frankenstein.txt</t>
  </si>
  <si>
    <t>pt_1000_10_keyFix_2_3_frankenstein.txt</t>
  </si>
  <si>
    <t>pt_1000_10_keyFix_1_2_frankenstein.txt</t>
  </si>
  <si>
    <t>pt_1000_9_keyFix_4_5_dorianGray.txt</t>
  </si>
  <si>
    <t>pt_1000_9_keyFix_3_4_dorianGray.txt</t>
  </si>
  <si>
    <t>pt_1000_9_keyFix_2_3_dorianGray.txt</t>
  </si>
  <si>
    <t>pt_1000_9_keyFix_1_2_dorianGray.txt</t>
  </si>
  <si>
    <t>pt_1000_8_keyFix_4_5_dorianGray.txt</t>
  </si>
  <si>
    <t>pt_1000_8_keyFix_3_4_dorianGray.txt</t>
  </si>
  <si>
    <t>pt_1000_8_keyFix_2_3_dorianGray.txt</t>
  </si>
  <si>
    <t>pt_1000_8_keyFix_1_2_dorianGray.txt</t>
  </si>
  <si>
    <t>pt_1000_7_keyFix_4_5_dorianGray.txt</t>
  </si>
  <si>
    <t>pt_1000_7_keyFix_3_4_dorianGray.txt</t>
  </si>
  <si>
    <t>pt_1000_7_keyFix_2_3_dorianGray.txt</t>
  </si>
  <si>
    <t>pt_1000_7_keyFix_1_2_dorianGray.txt</t>
  </si>
  <si>
    <t>pt_1000_6_keyFix_4_5_dorianGray.txt</t>
  </si>
  <si>
    <t>pt_1000_6_keyFix_3_4_dorianGray.txt</t>
  </si>
  <si>
    <t>pt_1000_6_keyFix_2_3_dorianGray.txt</t>
  </si>
  <si>
    <t>pt_1000_6_keyFix_1_2_dorianGray.txt</t>
  </si>
  <si>
    <t>pt_1000_5_keyFix_4_5_dorianGray.txt</t>
  </si>
  <si>
    <t>pt_1000_5_keyFix_3_4_dorianGray.txt</t>
  </si>
  <si>
    <t>pt_1000_5_keyFix_2_3_dorianGray.txt</t>
  </si>
  <si>
    <t>pt_1000_5_keyFix_1_2_dorianGray.txt</t>
  </si>
  <si>
    <t>pt_1000_4_keyFix_4_5_dorianGray.txt</t>
  </si>
  <si>
    <t>pt_1000_4_keyFix_3_4_dorianGray.txt</t>
  </si>
  <si>
    <t>pt_1000_4_keyFix_2_3_dorianGray.txt</t>
  </si>
  <si>
    <t>pt_1000_4_keyFix_1_2_dorianGray.txt</t>
  </si>
  <si>
    <t>pt_1000_3_keyFix_4_5_dorianGray.txt</t>
  </si>
  <si>
    <t>pt_1000_3_keyFix_3_4_dorianGray.txt</t>
  </si>
  <si>
    <t>pt_1000_3_keyFix_2_3_dorianGray.txt</t>
  </si>
  <si>
    <t>pt_1000_3_keyFix_1_2_dorianGray.txt</t>
  </si>
  <si>
    <t>pt_1000_2_keyFix_4_5_dorianGray.txt</t>
  </si>
  <si>
    <t>pt_1000_2_keyFix_3_4_dorianGray.txt</t>
  </si>
  <si>
    <t>pt_1000_2_keyFix_2_3_dorianGray.txt</t>
  </si>
  <si>
    <t>pt_1000_2_keyFix_1_2_dorianGray.txt</t>
  </si>
  <si>
    <t>pt_1000_1_keyFix_4_5_dorianGray.txt</t>
  </si>
  <si>
    <t>pt_1000_1_keyFix_3_4_dorianGray.txt</t>
  </si>
  <si>
    <t>pt_1000_1_keyFix_2_3_dorianGray.txt</t>
  </si>
  <si>
    <t>pt_1000_1_keyFix_1_2_dorianGray.txt</t>
  </si>
  <si>
    <t>pt_1000_10_keyFix_4_5_dorianGray.txt</t>
  </si>
  <si>
    <t>pt_1000_10_keyFix_3_4_dorianGray.txt</t>
  </si>
  <si>
    <t>pt_1000_10_keyFix_2_3_dorianGray.txt</t>
  </si>
  <si>
    <t>pt_1000_10_keyFix_1_2_dorianGray.txt</t>
  </si>
  <si>
    <t>pt_500_9_keyFix_4_5_greatGatsby.txt</t>
  </si>
  <si>
    <t>pt_500_9_keyFix_3_4_greatGatsby.txt</t>
  </si>
  <si>
    <t>pt_500_9_keyFix_2_3_greatGatsby.txt</t>
  </si>
  <si>
    <t>pt_500_9_keyFix_1_2_greatGatsby.txt</t>
  </si>
  <si>
    <t>pt_500_8_keyFix_4_5_greatGatsby.txt</t>
  </si>
  <si>
    <t>pt_500_8_keyFix_3_4_greatGatsby.txt</t>
  </si>
  <si>
    <t>pt_500_8_keyFix_2_3_greatGatsby.txt</t>
  </si>
  <si>
    <t>pt_500_8_keyFix_1_2_greatGatsby.txt</t>
  </si>
  <si>
    <t>pt_500_7_keyFix_4_5_greatGatsby.txt</t>
  </si>
  <si>
    <t>pt_500_7_keyFix_3_4_greatGatsby.txt</t>
  </si>
  <si>
    <t>pt_500_7_keyFix_2_3_greatGatsby.txt</t>
  </si>
  <si>
    <t>pt_500_7_keyFix_1_2_greatGatsby.txt</t>
  </si>
  <si>
    <t>pt_500_6_keyFix_4_5_greatGatsby.txt</t>
  </si>
  <si>
    <t>pt_500_6_keyFix_3_4_greatGatsby.txt</t>
  </si>
  <si>
    <t>pt_500_6_keyFix_2_3_greatGatsby.txt</t>
  </si>
  <si>
    <t>pt_500_6_keyFix_1_2_greatGatsby.txt</t>
  </si>
  <si>
    <t>pt_500_5_keyFix_4_5_greatGatsby.txt</t>
  </si>
  <si>
    <t>pt_500_5_keyFix_3_4_greatGatsby.txt</t>
  </si>
  <si>
    <t>pt_500_5_keyFix_2_3_greatGatsby.txt</t>
  </si>
  <si>
    <t>pt_500_5_keyFix_1_2_greatGatsby.txt</t>
  </si>
  <si>
    <t>pt_500_4_keyFix_4_5_greatGatsby.txt</t>
  </si>
  <si>
    <t>pt_500_4_keyFix_3_4_greatGatsby.txt</t>
  </si>
  <si>
    <t>pt_500_4_keyFix_2_3_greatGatsby.txt</t>
  </si>
  <si>
    <t>pt_500_4_keyFix_1_2_greatGatsby.txt</t>
  </si>
  <si>
    <t>pt_500_3_keyFix_4_5_greatGatsby.txt</t>
  </si>
  <si>
    <t>pt_500_3_keyFix_3_4_greatGatsby.txt</t>
  </si>
  <si>
    <t>pt_500_3_keyFix_2_3_greatGatsby.txt</t>
  </si>
  <si>
    <t>pt_500_3_keyFix_1_2_greatGatsby.txt</t>
  </si>
  <si>
    <t>pt_500_2_keyFix_4_5_greatGatsby.txt</t>
  </si>
  <si>
    <t>pt_500_2_keyFix_3_4_greatGatsby.txt</t>
  </si>
  <si>
    <t>pt_500_2_keyFix_2_3_greatGatsby.txt</t>
  </si>
  <si>
    <t>pt_500_2_keyFix_1_2_greatGatsby.txt</t>
  </si>
  <si>
    <t>pt_500_1_keyFix_4_5_greatGatsby.txt</t>
  </si>
  <si>
    <t>pt_500_1_keyFix_3_4_greatGatsby.txt</t>
  </si>
  <si>
    <t>pt_500_1_keyFix_2_3_greatGatsby.txt</t>
  </si>
  <si>
    <t>pt_500_1_keyFix_1_2_greatGatsby.txt</t>
  </si>
  <si>
    <t>pt_500_10_keyFix_4_5_greatGatsby.txt</t>
  </si>
  <si>
    <t>pt_500_10_keyFix_3_4_greatGatsby.txt</t>
  </si>
  <si>
    <t>pt_500_10_keyFix_2_3_greatGatsby.txt</t>
  </si>
  <si>
    <t>pt_500_10_keyFix_1_2_greatGatsby.txt</t>
  </si>
  <si>
    <t>pt_500_9_keyFix_4_5_frankenstein.txt</t>
  </si>
  <si>
    <t>pt_500_9_keyFix_3_4_frankenstein.txt</t>
  </si>
  <si>
    <t>pt_500_9_keyFix_2_3_frankenstein.txt</t>
  </si>
  <si>
    <t>pt_500_9_keyFix_1_2_frankenstein.txt</t>
  </si>
  <si>
    <t>pt_500_8_keyFix_4_5_frankenstein.txt</t>
  </si>
  <si>
    <t>pt_500_8_keyFix_3_4_frankenstein.txt</t>
  </si>
  <si>
    <t>pt_500_8_keyFix_2_3_frankenstein.txt</t>
  </si>
  <si>
    <t>pt_500_8_keyFix_1_2_frankenstein.txt</t>
  </si>
  <si>
    <t>pt_500_7_keyFix_4_5_frankenstein.txt</t>
  </si>
  <si>
    <t>pt_500_7_keyFix_3_4_frankenstein.txt</t>
  </si>
  <si>
    <t>pt_500_7_keyFix_2_3_frankenstein.txt</t>
  </si>
  <si>
    <t>pt_500_7_keyFix_1_2_frankenstein.txt</t>
  </si>
  <si>
    <t>pt_500_6_keyFix_4_5_frankenstein.txt</t>
  </si>
  <si>
    <t>pt_500_6_keyFix_3_4_frankenstein.txt</t>
  </si>
  <si>
    <t>pt_500_6_keyFix_2_3_frankenstein.txt</t>
  </si>
  <si>
    <t>pt_500_6_keyFix_1_2_frankenstein.txt</t>
  </si>
  <si>
    <t>pt_500_5_keyFix_4_5_frankenstein.txt</t>
  </si>
  <si>
    <t>pt_500_5_keyFix_3_4_frankenstein.txt</t>
  </si>
  <si>
    <t>pt_500_5_keyFix_2_3_frankenstein.txt</t>
  </si>
  <si>
    <t>pt_500_5_keyFix_1_2_frankenstein.txt</t>
  </si>
  <si>
    <t>pt_500_4_keyFix_4_5_frankenstein.txt</t>
  </si>
  <si>
    <t>pt_500_4_keyFix_3_4_frankenstein.txt</t>
  </si>
  <si>
    <t>pt_500_4_keyFix_2_3_frankenstein.txt</t>
  </si>
  <si>
    <t>pt_500_4_keyFix_1_2_frankenstein.txt</t>
  </si>
  <si>
    <t>pt_500_3_keyFix_4_5_frankenstein.txt</t>
  </si>
  <si>
    <t>pt_500_3_keyFix_3_4_frankenstein.txt</t>
  </si>
  <si>
    <t>pt_500_3_keyFix_2_3_frankenstein.txt</t>
  </si>
  <si>
    <t>pt_500_3_keyFix_1_2_frankenstein.txt</t>
  </si>
  <si>
    <t>pt_500_2_keyFix_4_5_frankenstein.txt</t>
  </si>
  <si>
    <t>pt_500_2_keyFix_3_4_frankenstein.txt</t>
  </si>
  <si>
    <t>pt_500_2_keyFix_2_3_frankenstein.txt</t>
  </si>
  <si>
    <t>pt_500_2_keyFix_1_2_frankenstein.txt</t>
  </si>
  <si>
    <t>pt_500_1_keyFix_4_5_frankenstein.txt</t>
  </si>
  <si>
    <t>pt_500_1_keyFix_3_4_frankenstein.txt</t>
  </si>
  <si>
    <t>pt_500_1_keyFix_2_3_frankenstein.txt</t>
  </si>
  <si>
    <t>pt_500_1_keyFix_1_2_frankenstein.txt</t>
  </si>
  <si>
    <t>pt_500_10_keyFix_4_5_frankenstein.txt</t>
  </si>
  <si>
    <t>pt_500_10_keyFix_3_4_frankenstein.txt</t>
  </si>
  <si>
    <t>pt_500_10_keyFix_2_3_frankenstein.txt</t>
  </si>
  <si>
    <t>pt_500_10_keyFix_1_2_frankenstein.txt</t>
  </si>
  <si>
    <t>pt_500_9_keyFix_4_5_dorianGray.txt</t>
  </si>
  <si>
    <t>pt_500_9_keyFix_3_4_dorianGray.txt</t>
  </si>
  <si>
    <t>pt_500_9_keyFix_2_3_dorianGray.txt</t>
  </si>
  <si>
    <t>pt_500_9_keyFix_1_2_dorianGray.txt</t>
  </si>
  <si>
    <t>pt_500_8_keyFix_4_5_dorianGray.txt</t>
  </si>
  <si>
    <t>pt_500_8_keyFix_3_4_dorianGray.txt</t>
  </si>
  <si>
    <t>pt_500_8_keyFix_2_3_dorianGray.txt</t>
  </si>
  <si>
    <t>pt_500_8_keyFix_1_2_dorianGray.txt</t>
  </si>
  <si>
    <t>pt_500_7_keyFix_4_5_dorianGray.txt</t>
  </si>
  <si>
    <t>pt_500_7_keyFix_3_4_dorianGray.txt</t>
  </si>
  <si>
    <t>pt_500_7_keyFix_2_3_dorianGray.txt</t>
  </si>
  <si>
    <t>pt_500_7_keyFix_1_2_dorianGray.txt</t>
  </si>
  <si>
    <t>pt_500_6_keyFix_4_5_dorianGray.txt</t>
  </si>
  <si>
    <t>pt_500_6_keyFix_3_4_dorianGray.txt</t>
  </si>
  <si>
    <t>pt_500_6_keyFix_2_3_dorianGray.txt</t>
  </si>
  <si>
    <t>pt_500_6_keyFix_1_2_dorianGray.txt</t>
  </si>
  <si>
    <t>pt_500_5_keyFix_4_5_dorianGray.txt</t>
  </si>
  <si>
    <t>pt_500_5_keyFix_3_4_dorianGray.txt</t>
  </si>
  <si>
    <t>pt_500_5_keyFix_2_3_dorianGray.txt</t>
  </si>
  <si>
    <t>pt_500_5_keyFix_1_2_dorianGray.txt</t>
  </si>
  <si>
    <t>pt_500_4_keyFix_4_5_dorianGray.txt</t>
  </si>
  <si>
    <t>pt_500_4_keyFix_3_4_dorianGray.txt</t>
  </si>
  <si>
    <t>pt_500_4_keyFix_2_3_dorianGray.txt</t>
  </si>
  <si>
    <t>pt_500_4_keyFix_1_2_dorianGray.txt</t>
  </si>
  <si>
    <t>pt_500_3_keyFix_4_5_dorianGray.txt</t>
  </si>
  <si>
    <t>pt_500_3_keyFix_3_4_dorianGray.txt</t>
  </si>
  <si>
    <t>pt_500_3_keyFix_2_3_dorianGray.txt</t>
  </si>
  <si>
    <t>pt_500_3_keyFix_1_2_dorianGray.txt</t>
  </si>
  <si>
    <t>pt_500_2_keyFix_4_5_dorianGray.txt</t>
  </si>
  <si>
    <t>pt_500_2_keyFix_3_4_dorianGray.txt</t>
  </si>
  <si>
    <t>pt_500_2_keyFix_2_3_dorianGray.txt</t>
  </si>
  <si>
    <t>pt_500_2_keyFix_1_2_dorianGray.txt</t>
  </si>
  <si>
    <t>pt_500_1_keyFix_4_5_dorianGray.txt</t>
  </si>
  <si>
    <t>pt_500_1_keyFix_3_4_dorianGray.txt</t>
  </si>
  <si>
    <t>pt_500_1_keyFix_2_3_dorianGray.txt</t>
  </si>
  <si>
    <t>pt_500_1_keyFix_1_2_dorianGray.txt</t>
  </si>
  <si>
    <t>pt_500_10_keyFix_4_5_dorianGray.txt</t>
  </si>
  <si>
    <t>pt_500_10_keyFix_3_4_dorianGray.txt</t>
  </si>
  <si>
    <t>pt_500_10_keyFix_2_3_dorianGray.txt</t>
  </si>
  <si>
    <t>pt_500_10_keyFix_1_2_dorianGray.txt</t>
  </si>
  <si>
    <t>pt_1000_9_keyFreq_4_1.2_greatGatsby.txt</t>
  </si>
  <si>
    <t>pt_1000_9_keyFreq_3_0.8999999999999999_greatGatsby.txt</t>
  </si>
  <si>
    <t>pt_1000_9_keyFreq_2_0.6_greatGatsby.txt</t>
  </si>
  <si>
    <t>pt_1000_9_keyFreq_1_0.3_greatGatsby.txt</t>
  </si>
  <si>
    <t>pt_1000_8_keyFreq_4_1.2_greatGatsby.txt</t>
  </si>
  <si>
    <t>pt_1000_8_keyFreq_3_0.8999999999999999_greatGatsby.txt</t>
  </si>
  <si>
    <t>pt_1000_8_keyFreq_2_0.6_greatGatsby.txt</t>
  </si>
  <si>
    <t>pt_1000_8_keyFreq_1_0.3_greatGatsby.txt</t>
  </si>
  <si>
    <t>pt_1000_7_keyFreq_4_1.2_greatGatsby.txt</t>
  </si>
  <si>
    <t>pt_1000_7_keyFreq_3_0.8999999999999999_greatGatsby.txt</t>
  </si>
  <si>
    <t>pt_1000_7_keyFreq_2_0.6_greatGatsby.txt</t>
  </si>
  <si>
    <t>pt_1000_7_keyFreq_1_0.3_greatGatsby.txt</t>
  </si>
  <si>
    <t>pt_1000_6_keyFreq_4_1.2_greatGatsby.txt</t>
  </si>
  <si>
    <t>pt_1000_6_keyFreq_3_0.8999999999999999_greatGatsby.txt</t>
  </si>
  <si>
    <t>pt_1000_6_keyFreq_2_0.6_greatGatsby.txt</t>
  </si>
  <si>
    <t>pt_1000_6_keyFreq_1_0.3_greatGatsby.txt</t>
  </si>
  <si>
    <t>pt_1000_5_keyFreq_4_1.2_greatGatsby.txt</t>
  </si>
  <si>
    <t>pt_1000_5_keyFreq_3_0.8999999999999999_greatGatsby.txt</t>
  </si>
  <si>
    <t>pt_1000_5_keyFreq_2_0.6_greatGatsby.txt</t>
  </si>
  <si>
    <t>pt_1000_5_keyFreq_1_0.3_greatGatsby.txt</t>
  </si>
  <si>
    <t>pt_1000_4_keyFreq_4_1.2_greatGatsby.txt</t>
  </si>
  <si>
    <t>pt_1000_4_keyFreq_3_0.8999999999999999_greatGatsby.txt</t>
  </si>
  <si>
    <t>pt_1000_4_keyFreq_2_0.6_greatGatsby.txt</t>
  </si>
  <si>
    <t>pt_1000_4_keyFreq_1_0.3_greatGatsby.txt</t>
  </si>
  <si>
    <t>pt_1000_3_keyFreq_4_1.2_greatGatsby.txt</t>
  </si>
  <si>
    <t>pt_1000_3_keyFreq_3_0.8999999999999999_greatGatsby.txt</t>
  </si>
  <si>
    <t>pt_1000_3_keyFreq_2_0.6_greatGatsby.txt</t>
  </si>
  <si>
    <t>pt_1000_3_keyFreq_1_0.3_greatGatsby.txt</t>
  </si>
  <si>
    <t>pt_1000_2_keyFreq_4_1.2_greatGatsby.txt</t>
  </si>
  <si>
    <t>pt_1000_2_keyFreq_3_0.8999999999999999_greatGatsby.txt</t>
  </si>
  <si>
    <t>pt_1000_2_keyFreq_2_0.6_greatGatsby.txt</t>
  </si>
  <si>
    <t>pt_1000_2_keyFreq_1_0.3_greatGatsby.txt</t>
  </si>
  <si>
    <t>pt_1000_1_keyFreq_4_1.2_greatGatsby.txt</t>
  </si>
  <si>
    <t>pt_1000_1_keyFreq_3_0.8999999999999999_greatGatsby.txt</t>
  </si>
  <si>
    <t>pt_1000_1_keyFreq_2_0.6_greatGatsby.txt</t>
  </si>
  <si>
    <t>pt_1000_1_keyFreq_1_0.3_greatGatsby.txt</t>
  </si>
  <si>
    <t>pt_1000_10_keyFreq_4_1.2_greatGatsby.txt</t>
  </si>
  <si>
    <t>pt_1000_10_keyFreq_3_0.8999999999999999_greatGatsby.txt</t>
  </si>
  <si>
    <t>pt_1000_10_keyFreq_2_0.6_greatGatsby.txt</t>
  </si>
  <si>
    <t>pt_1000_10_keyFreq_1_0.3_greatGatsby.txt</t>
  </si>
  <si>
    <t>pt_1000_9_keyFreq_4_1.2_frankenstein.txt</t>
  </si>
  <si>
    <t>pt_1000_9_keyFreq_3_0.8999999999999999_frankenstein.txt</t>
  </si>
  <si>
    <t>pt_1000_9_keyFreq_2_0.6_frankenstein.txt</t>
  </si>
  <si>
    <t>pt_1000_9_keyFreq_1_0.3_frankenstein.txt</t>
  </si>
  <si>
    <t>pt_1000_8_keyFreq_4_1.2_frankenstein.txt</t>
  </si>
  <si>
    <t>pt_1000_8_keyFreq_3_0.8999999999999999_frankenstein.txt</t>
  </si>
  <si>
    <t>pt_1000_8_keyFreq_2_0.6_frankenstein.txt</t>
  </si>
  <si>
    <t>pt_1000_8_keyFreq_1_0.3_frankenstein.txt</t>
  </si>
  <si>
    <t>pt_1000_7_keyFreq_4_1.2_frankenstein.txt</t>
  </si>
  <si>
    <t>pt_1000_7_keyFreq_3_0.8999999999999999_frankenstein.txt</t>
  </si>
  <si>
    <t>pt_1000_7_keyFreq_2_0.6_frankenstein.txt</t>
  </si>
  <si>
    <t>pt_1000_7_keyFreq_1_0.3_frankenstein.txt</t>
  </si>
  <si>
    <t>pt_1000_6_keyFreq_4_1.2_frankenstein.txt</t>
  </si>
  <si>
    <t>pt_1000_6_keyFreq_3_0.8999999999999999_frankenstein.txt</t>
  </si>
  <si>
    <t>pt_1000_6_keyFreq_2_0.6_frankenstein.txt</t>
  </si>
  <si>
    <t>pt_1000_6_keyFreq_1_0.3_frankenstein.txt</t>
  </si>
  <si>
    <t>pt_1000_5_keyFreq_4_1.2_frankenstein.txt</t>
  </si>
  <si>
    <t>pt_1000_5_keyFreq_3_0.8999999999999999_frankenstein.txt</t>
  </si>
  <si>
    <t>pt_1000_5_keyFreq_2_0.6_frankenstein.txt</t>
  </si>
  <si>
    <t>pt_1000_5_keyFreq_1_0.3_frankenstein.txt</t>
  </si>
  <si>
    <t>pt_1000_4_keyFreq_4_1.2_frankenstein.txt</t>
  </si>
  <si>
    <t>pt_1000_4_keyFreq_3_0.8999999999999999_frankenstein.txt</t>
  </si>
  <si>
    <t>pt_1000_4_keyFreq_2_0.6_frankenstein.txt</t>
  </si>
  <si>
    <t>pt_1000_4_keyFreq_1_0.3_frankenstein.txt</t>
  </si>
  <si>
    <t>pt_1000_3_keyFreq_4_1.2_frankenstein.txt</t>
  </si>
  <si>
    <t>pt_1000_3_keyFreq_3_0.8999999999999999_frankenstein.txt</t>
  </si>
  <si>
    <t>pt_1000_3_keyFreq_2_0.6_frankenstein.txt</t>
  </si>
  <si>
    <t>pt_1000_3_keyFreq_1_0.3_frankenstein.txt</t>
  </si>
  <si>
    <t>pt_1000_2_keyFreq_4_1.2_frankenstein.txt</t>
  </si>
  <si>
    <t>pt_1000_2_keyFreq_3_0.8999999999999999_frankenstein.txt</t>
  </si>
  <si>
    <t>pt_1000_2_keyFreq_2_0.6_frankenstein.txt</t>
  </si>
  <si>
    <t>pt_1000_2_keyFreq_1_0.3_frankenstein.txt</t>
  </si>
  <si>
    <t>pt_1000_1_keyFreq_4_1.2_frankenstein.txt</t>
  </si>
  <si>
    <t>pt_1000_1_keyFreq_3_0.8999999999999999_frankenstein.txt</t>
  </si>
  <si>
    <t>pt_1000_1_keyFreq_2_0.6_frankenstein.txt</t>
  </si>
  <si>
    <t>pt_1000_1_keyFreq_1_0.3_frankenstein.txt</t>
  </si>
  <si>
    <t>pt_1000_10_keyFreq_4_1.2_frankenstein.txt</t>
  </si>
  <si>
    <t>pt_1000_10_keyFreq_3_0.8999999999999999_frankenstein.txt</t>
  </si>
  <si>
    <t>pt_1000_10_keyFreq_2_0.6_frankenstein.txt</t>
  </si>
  <si>
    <t>pt_1000_10_keyFreq_1_0.3_frankenstein.txt</t>
  </si>
  <si>
    <t>pt_1000_9_keyFreq_4_1.2_dorianGray.txt</t>
  </si>
  <si>
    <t>pt_1000_9_keyFreq_3_0.8999999999999999_dorianGray.txt</t>
  </si>
  <si>
    <t>pt_1000_9_keyFreq_2_0.6_dorianGray.txt</t>
  </si>
  <si>
    <t>pt_1000_9_keyFreq_1_0.3_dorianGray.txt</t>
  </si>
  <si>
    <t>pt_1000_8_keyFreq_4_1.2_dorianGray.txt</t>
  </si>
  <si>
    <t>pt_1000_8_keyFreq_3_0.8999999999999999_dorianGray.txt</t>
  </si>
  <si>
    <t>pt_1000_8_keyFreq_2_0.6_dorianGray.txt</t>
  </si>
  <si>
    <t>pt_1000_8_keyFreq_1_0.3_dorianGray.txt</t>
  </si>
  <si>
    <t>pt_1000_7_keyFreq_4_1.2_dorianGray.txt</t>
  </si>
  <si>
    <t>pt_1000_7_keyFreq_3_0.8999999999999999_dorianGray.txt</t>
  </si>
  <si>
    <t>pt_1000_7_keyFreq_2_0.6_dorianGray.txt</t>
  </si>
  <si>
    <t>pt_1000_7_keyFreq_1_0.3_dorianGray.txt</t>
  </si>
  <si>
    <t>pt_1000_6_keyFreq_4_1.2_dorianGray.txt</t>
  </si>
  <si>
    <t>pt_1000_6_keyFreq_3_0.8999999999999999_dorianGray.txt</t>
  </si>
  <si>
    <t>pt_1000_6_keyFreq_2_0.6_dorianGray.txt</t>
  </si>
  <si>
    <t>pt_1000_6_keyFreq_1_0.3_dorianGray.txt</t>
  </si>
  <si>
    <t>pt_1000_5_keyFreq_4_1.2_dorianGray.txt</t>
  </si>
  <si>
    <t>pt_1000_5_keyFreq_3_0.8999999999999999_dorianGray.txt</t>
  </si>
  <si>
    <t>pt_1000_5_keyFreq_2_0.6_dorianGray.txt</t>
  </si>
  <si>
    <t>pt_1000_5_keyFreq_1_0.3_dorianGray.txt</t>
  </si>
  <si>
    <t>pt_1000_4_keyFreq_4_1.2_dorianGray.txt</t>
  </si>
  <si>
    <t>pt_1000_4_keyFreq_3_0.8999999999999999_dorianGray.txt</t>
  </si>
  <si>
    <t>pt_1000_4_keyFreq_2_0.6_dorianGray.txt</t>
  </si>
  <si>
    <t>pt_1000_4_keyFreq_1_0.3_dorianGray.txt</t>
  </si>
  <si>
    <t>pt_1000_3_keyFreq_4_1.2_dorianGray.txt</t>
  </si>
  <si>
    <t>pt_1000_3_keyFreq_3_0.8999999999999999_dorianGray.txt</t>
  </si>
  <si>
    <t>pt_1000_3_keyFreq_2_0.6_dorianGray.txt</t>
  </si>
  <si>
    <t>pt_1000_3_keyFreq_1_0.3_dorianGray.txt</t>
  </si>
  <si>
    <t>pt_1000_2_keyFreq_4_1.2_dorianGray.txt</t>
  </si>
  <si>
    <t>pt_1000_2_keyFreq_3_0.8999999999999999_dorianGray.txt</t>
  </si>
  <si>
    <t>pt_1000_2_keyFreq_2_0.6_dorianGray.txt</t>
  </si>
  <si>
    <t>pt_1000_2_keyFreq_1_0.3_dorianGray.txt</t>
  </si>
  <si>
    <t>pt_1000_1_keyFreq_4_1.2_dorianGray.txt</t>
  </si>
  <si>
    <t>pt_1000_1_keyFreq_3_0.8999999999999999_dorianGray.txt</t>
  </si>
  <si>
    <t>pt_1000_1_keyFreq_2_0.6_dorianGray.txt</t>
  </si>
  <si>
    <t>pt_1000_1_keyFreq_1_0.3_dorianGray.txt</t>
  </si>
  <si>
    <t>pt_1000_10_keyFreq_4_1.2_dorianGray.txt</t>
  </si>
  <si>
    <t>pt_1000_10_keyFreq_3_0.8999999999999999_dorianGray.txt</t>
  </si>
  <si>
    <t>pt_1000_10_keyFreq_2_0.6_dorianGray.txt</t>
  </si>
  <si>
    <t>pt_1000_10_keyFreq_1_0.3_dorianGray.txt</t>
  </si>
  <si>
    <t>pt_2000_9_keyFix_4_5_greatGatsby.txt</t>
  </si>
  <si>
    <t>pt_2000_9_keyFix_3_4_greatGatsby.txt</t>
  </si>
  <si>
    <t>pt_2000_9_keyFix_2_3_greatGatsby.txt</t>
  </si>
  <si>
    <t>pt_2000_9_keyFix_1_2_greatGatsby.txt</t>
  </si>
  <si>
    <t>pt_2000_8_keyFix_4_5_greatGatsby.txt</t>
  </si>
  <si>
    <t>pt_2000_8_keyFix_3_4_greatGatsby.txt</t>
  </si>
  <si>
    <t>pt_2000_8_keyFix_2_3_greatGatsby.txt</t>
  </si>
  <si>
    <t>pt_2000_8_keyFix_1_2_greatGatsby.txt</t>
  </si>
  <si>
    <t>pt_2000_7_keyFix_4_5_greatGatsby.txt</t>
  </si>
  <si>
    <t>pt_2000_7_keyFix_3_4_greatGatsby.txt</t>
  </si>
  <si>
    <t>pt_2000_7_keyFix_2_3_greatGatsby.txt</t>
  </si>
  <si>
    <t>pt_2000_7_keyFix_1_2_greatGatsby.txt</t>
  </si>
  <si>
    <t>pt_2000_6_keyFix_4_5_greatGatsby.txt</t>
  </si>
  <si>
    <t>pt_2000_6_keyFix_3_4_greatGatsby.txt</t>
  </si>
  <si>
    <t>pt_2000_6_keyFix_2_3_greatGatsby.txt</t>
  </si>
  <si>
    <t>pt_2000_6_keyFix_1_2_greatGatsby.txt</t>
  </si>
  <si>
    <t>pt_2000_5_keyFix_4_5_greatGatsby.txt</t>
  </si>
  <si>
    <t>pt_2000_5_keyFix_3_4_greatGatsby.txt</t>
  </si>
  <si>
    <t>pt_2000_5_keyFix_2_3_greatGatsby.txt</t>
  </si>
  <si>
    <t>pt_2000_5_keyFix_1_2_greatGatsby.txt</t>
  </si>
  <si>
    <t>pt_2000_4_keyFix_4_5_greatGatsby.txt</t>
  </si>
  <si>
    <t>pt_2000_4_keyFix_3_4_greatGatsby.txt</t>
  </si>
  <si>
    <t>pt_2000_4_keyFix_2_3_greatGatsby.txt</t>
  </si>
  <si>
    <t>pt_2000_4_keyFix_1_2_greatGatsby.txt</t>
  </si>
  <si>
    <t>pt_2000_3_keyFix_4_5_greatGatsby.txt</t>
  </si>
  <si>
    <t>pt_2000_3_keyFix_3_4_greatGatsby.txt</t>
  </si>
  <si>
    <t>pt_2000_3_keyFix_2_3_greatGatsby.txt</t>
  </si>
  <si>
    <t>pt_2000_3_keyFix_1_2_greatGatsby.txt</t>
  </si>
  <si>
    <t>pt_2000_2_keyFix_4_5_greatGatsby.txt</t>
  </si>
  <si>
    <t>pt_2000_2_keyFix_3_4_greatGatsby.txt</t>
  </si>
  <si>
    <t>pt_2000_2_keyFix_2_3_greatGatsby.txt</t>
  </si>
  <si>
    <t>pt_2000_2_keyFix_1_2_greatGatsby.txt</t>
  </si>
  <si>
    <t>pt_2000_1_keyFix_4_5_greatGatsby.txt</t>
  </si>
  <si>
    <t>pt_2000_1_keyFix_3_4_greatGatsby.txt</t>
  </si>
  <si>
    <t>pt_2000_1_keyFix_2_3_greatGatsby.txt</t>
  </si>
  <si>
    <t>pt_2000_1_keyFix_1_2_greatGatsby.txt</t>
  </si>
  <si>
    <t>pt_2000_10_keyFix_4_5_greatGatsby.txt</t>
  </si>
  <si>
    <t>pt_2000_10_keyFix_3_4_greatGatsby.txt</t>
  </si>
  <si>
    <t>pt_2000_10_keyFix_2_3_greatGatsby.txt</t>
  </si>
  <si>
    <t>pt_2000_10_keyFix_1_2_greatGatsby.txt</t>
  </si>
  <si>
    <t>pt_2000_9_keyFix_4_5_frankenstein.txt</t>
  </si>
  <si>
    <t>pt_2000_9_keyFix_3_4_frankenstein.txt</t>
  </si>
  <si>
    <t>pt_2000_9_keyFix_2_3_frankenstein.txt</t>
  </si>
  <si>
    <t>pt_2000_9_keyFix_1_2_frankenstein.txt</t>
  </si>
  <si>
    <t>pt_2000_8_keyFix_4_5_frankenstein.txt</t>
  </si>
  <si>
    <t>pt_2000_8_keyFix_3_4_frankenstein.txt</t>
  </si>
  <si>
    <t>pt_2000_8_keyFix_2_3_frankenstein.txt</t>
  </si>
  <si>
    <t>pt_2000_8_keyFix_1_2_frankenstein.txt</t>
  </si>
  <si>
    <t>pt_2000_7_keyFix_4_5_frankenstein.txt</t>
  </si>
  <si>
    <t>pt_2000_7_keyFix_3_4_frankenstein.txt</t>
  </si>
  <si>
    <t>pt_2000_7_keyFix_2_3_frankenstein.txt</t>
  </si>
  <si>
    <t>pt_2000_7_keyFix_1_2_frankenstein.txt</t>
  </si>
  <si>
    <t>pt_2000_6_keyFix_4_5_frankenstein.txt</t>
  </si>
  <si>
    <t>pt_2000_6_keyFix_3_4_frankenstein.txt</t>
  </si>
  <si>
    <t>pt_2000_6_keyFix_2_3_frankenstein.txt</t>
  </si>
  <si>
    <t>pt_2000_6_keyFix_1_2_frankenstein.txt</t>
  </si>
  <si>
    <t>pt_2000_5_keyFix_4_5_frankenstein.txt</t>
  </si>
  <si>
    <t>pt_2000_5_keyFix_3_4_frankenstein.txt</t>
  </si>
  <si>
    <t>pt_2000_5_keyFix_2_3_frankenstein.txt</t>
  </si>
  <si>
    <t>pt_2000_5_keyFix_1_2_frankenstein.txt</t>
  </si>
  <si>
    <t>pt_2000_4_keyFix_4_5_frankenstein.txt</t>
  </si>
  <si>
    <t>pt_2000_4_keyFix_3_4_frankenstein.txt</t>
  </si>
  <si>
    <t>pt_2000_4_keyFix_2_3_frankenstein.txt</t>
  </si>
  <si>
    <t>pt_2000_4_keyFix_1_2_frankenstein.txt</t>
  </si>
  <si>
    <t>pt_2000_3_keyFix_4_5_frankenstein.txt</t>
  </si>
  <si>
    <t>pt_2000_3_keyFix_3_4_frankenstein.txt</t>
  </si>
  <si>
    <t>pt_2000_3_keyFix_2_3_frankenstein.txt</t>
  </si>
  <si>
    <t>pt_2000_3_keyFix_1_2_frankenstein.txt</t>
  </si>
  <si>
    <t>pt_2000_2_keyFix_4_5_frankenstein.txt</t>
  </si>
  <si>
    <t>pt_2000_2_keyFix_3_4_frankenstein.txt</t>
  </si>
  <si>
    <t>pt_2000_2_keyFix_2_3_frankenstein.txt</t>
  </si>
  <si>
    <t>pt_2000_2_keyFix_1_2_frankenstein.txt</t>
  </si>
  <si>
    <t>pt_2000_1_keyFix_4_5_frankenstein.txt</t>
  </si>
  <si>
    <t>pt_2000_1_keyFix_3_4_frankenstein.txt</t>
  </si>
  <si>
    <t>pt_2000_1_keyFix_2_3_frankenstein.txt</t>
  </si>
  <si>
    <t>pt_2000_1_keyFix_1_2_frankenstein.txt</t>
  </si>
  <si>
    <t>pt_2000_10_keyFix_4_5_frankenstein.txt</t>
  </si>
  <si>
    <t>pt_2000_10_keyFix_3_4_frankenstein.txt</t>
  </si>
  <si>
    <t>pt_2000_10_keyFix_2_3_frankenstein.txt</t>
  </si>
  <si>
    <t>pt_2000_10_keyFix_1_2_frankenstein.txt</t>
  </si>
  <si>
    <t>pt_2000_9_keyFix_4_5_dorianGray.txt</t>
  </si>
  <si>
    <t>pt_2000_9_keyFix_3_4_dorianGray.txt</t>
  </si>
  <si>
    <t>pt_2000_9_keyFix_2_3_dorianGray.txt</t>
  </si>
  <si>
    <t>pt_2000_9_keyFix_1_2_dorianGray.txt</t>
  </si>
  <si>
    <t>pt_2000_8_keyFix_4_5_dorianGray.txt</t>
  </si>
  <si>
    <t>pt_2000_8_keyFix_3_4_dorianGray.txt</t>
  </si>
  <si>
    <t>pt_2000_8_keyFix_2_3_dorianGray.txt</t>
  </si>
  <si>
    <t>pt_2000_8_keyFix_1_2_dorianGray.txt</t>
  </si>
  <si>
    <t>pt_2000_7_keyFix_4_5_dorianGray.txt</t>
  </si>
  <si>
    <t>pt_2000_7_keyFix_3_4_dorianGray.txt</t>
  </si>
  <si>
    <t>pt_2000_7_keyFix_2_3_dorianGray.txt</t>
  </si>
  <si>
    <t>pt_2000_7_keyFix_1_2_dorianGray.txt</t>
  </si>
  <si>
    <t>pt_2000_6_keyFix_4_5_dorianGray.txt</t>
  </si>
  <si>
    <t>pt_2000_6_keyFix_3_4_dorianGray.txt</t>
  </si>
  <si>
    <t>pt_2000_6_keyFix_2_3_dorianGray.txt</t>
  </si>
  <si>
    <t>pt_2000_6_keyFix_1_2_dorianGray.txt</t>
  </si>
  <si>
    <t>pt_2000_5_keyFix_4_5_dorianGray.txt</t>
  </si>
  <si>
    <t>pt_2000_5_keyFix_3_4_dorianGray.txt</t>
  </si>
  <si>
    <t>pt_2000_5_keyFix_2_3_dorianGray.txt</t>
  </si>
  <si>
    <t>pt_2000_5_keyFix_1_2_dorianGray.txt</t>
  </si>
  <si>
    <t>pt_2000_4_keyFix_4_5_dorianGray.txt</t>
  </si>
  <si>
    <t>pt_2000_4_keyFix_3_4_dorianGray.txt</t>
  </si>
  <si>
    <t>pt_2000_4_keyFix_2_3_dorianGray.txt</t>
  </si>
  <si>
    <t>pt_2000_4_keyFix_1_2_dorianGray.txt</t>
  </si>
  <si>
    <t>pt_2000_3_keyFix_4_5_dorianGray.txt</t>
  </si>
  <si>
    <t>pt_2000_3_keyFix_3_4_dorianGray.txt</t>
  </si>
  <si>
    <t>pt_2000_3_keyFix_2_3_dorianGray.txt</t>
  </si>
  <si>
    <t>pt_2000_3_keyFix_1_2_dorianGray.txt</t>
  </si>
  <si>
    <t>pt_2000_2_keyFix_4_5_dorianGray.txt</t>
  </si>
  <si>
    <t>pt_2000_2_keyFix_3_4_dorianGray.txt</t>
  </si>
  <si>
    <t>pt_2000_2_keyFix_2_3_dorianGray.txt</t>
  </si>
  <si>
    <t>pt_2000_2_keyFix_1_2_dorianGray.txt</t>
  </si>
  <si>
    <t>pt_2000_1_keyFix_4_5_dorianGray.txt</t>
  </si>
  <si>
    <t>pt_2000_1_keyFix_3_4_dorianGray.txt</t>
  </si>
  <si>
    <t>pt_2000_1_keyFix_2_3_dorianGray.txt</t>
  </si>
  <si>
    <t>pt_2000_1_keyFix_1_2_dorianGray.txt</t>
  </si>
  <si>
    <t>pt_2000_10_keyFix_4_5_dorianGray.txt</t>
  </si>
  <si>
    <t>pt_2000_10_keyFix_3_4_dorianGray.txt</t>
  </si>
  <si>
    <t>pt_2000_10_keyFix_2_3_dorianGray.txt</t>
  </si>
  <si>
    <t>pt_2000_10_keyFix_1_2_dorianGray.txt</t>
  </si>
  <si>
    <t>pt_2000_9_keyFreq_4_1.2_greatGatsby.txt</t>
  </si>
  <si>
    <t>pt_2000_9_keyFreq_3_0.8999999999999999_greatGatsby.txt</t>
  </si>
  <si>
    <t>pt_2000_9_keyFreq_2_0.6_greatGatsby.txt</t>
  </si>
  <si>
    <t>pt_2000_9_keyFreq_1_0.3_greatGatsby.txt</t>
  </si>
  <si>
    <t>pt_2000_8_keyFreq_4_1.2_greatGatsby.txt</t>
  </si>
  <si>
    <t>pt_2000_8_keyFreq_3_0.8999999999999999_greatGatsby.txt</t>
  </si>
  <si>
    <t>pt_2000_8_keyFreq_2_0.6_greatGatsby.txt</t>
  </si>
  <si>
    <t>pt_2000_8_keyFreq_1_0.3_greatGatsby.txt</t>
  </si>
  <si>
    <t>pt_2000_7_keyFreq_4_1.2_greatGatsby.txt</t>
  </si>
  <si>
    <t>pt_2000_7_keyFreq_3_0.8999999999999999_greatGatsby.txt</t>
  </si>
  <si>
    <t>pt_2000_7_keyFreq_2_0.6_greatGatsby.txt</t>
  </si>
  <si>
    <t>pt_2000_7_keyFreq_1_0.3_greatGatsby.txt</t>
  </si>
  <si>
    <t>pt_2000_6_keyFreq_4_1.2_greatGatsby.txt</t>
  </si>
  <si>
    <t>pt_2000_6_keyFreq_3_0.8999999999999999_greatGatsby.txt</t>
  </si>
  <si>
    <t>pt_2000_6_keyFreq_2_0.6_greatGatsby.txt</t>
  </si>
  <si>
    <t>pt_2000_6_keyFreq_1_0.3_greatGatsby.txt</t>
  </si>
  <si>
    <t>pt_2000_5_keyFreq_4_1.2_greatGatsby.txt</t>
  </si>
  <si>
    <t>pt_2000_5_keyFreq_3_0.8999999999999999_greatGatsby.txt</t>
  </si>
  <si>
    <t>pt_2000_5_keyFreq_2_0.6_greatGatsby.txt</t>
  </si>
  <si>
    <t>pt_2000_5_keyFreq_1_0.3_greatGatsby.txt</t>
  </si>
  <si>
    <t>pt_2000_4_keyFreq_4_1.2_greatGatsby.txt</t>
  </si>
  <si>
    <t>pt_2000_4_keyFreq_3_0.8999999999999999_greatGatsby.txt</t>
  </si>
  <si>
    <t>pt_2000_4_keyFreq_2_0.6_greatGatsby.txt</t>
  </si>
  <si>
    <t>pt_2000_4_keyFreq_1_0.3_greatGatsby.txt</t>
  </si>
  <si>
    <t>pt_2000_3_keyFreq_4_1.2_greatGatsby.txt</t>
  </si>
  <si>
    <t>pt_2000_3_keyFreq_3_0.8999999999999999_greatGatsby.txt</t>
  </si>
  <si>
    <t>pt_2000_3_keyFreq_2_0.6_greatGatsby.txt</t>
  </si>
  <si>
    <t>pt_2000_3_keyFreq_1_0.3_greatGatsby.txt</t>
  </si>
  <si>
    <t>pt_2000_2_keyFreq_4_1.2_greatGatsby.txt</t>
  </si>
  <si>
    <t>pt_2000_2_keyFreq_3_0.8999999999999999_greatGatsby.txt</t>
  </si>
  <si>
    <t>pt_2000_2_keyFreq_2_0.6_greatGatsby.txt</t>
  </si>
  <si>
    <t>pt_2000_2_keyFreq_1_0.3_greatGatsby.txt</t>
  </si>
  <si>
    <t>pt_2000_1_keyFreq_4_1.2_greatGatsby.txt</t>
  </si>
  <si>
    <t>pt_2000_1_keyFreq_3_0.8999999999999999_greatGatsby.txt</t>
  </si>
  <si>
    <t>pt_2000_1_keyFreq_2_0.6_greatGatsby.txt</t>
  </si>
  <si>
    <t>pt_2000_1_keyFreq_1_0.3_greatGatsby.txt</t>
  </si>
  <si>
    <t>pt_2000_10_keyFreq_4_1.2_greatGatsby.txt</t>
  </si>
  <si>
    <t>pt_2000_10_keyFreq_3_0.8999999999999999_greatGatsby.txt</t>
  </si>
  <si>
    <t>pt_2000_10_keyFreq_2_0.6_greatGatsby.txt</t>
  </si>
  <si>
    <t>pt_2000_10_keyFreq_1_0.3_greatGatsby.txt</t>
  </si>
  <si>
    <t>pt_2000_9_keyFreq_4_1.2_frankenstein.txt</t>
  </si>
  <si>
    <t>pt_2000_9_keyFreq_3_0.8999999999999999_frankenstein.txt</t>
  </si>
  <si>
    <t>pt_2000_9_keyFreq_2_0.6_frankenstein.txt</t>
  </si>
  <si>
    <t>pt_2000_9_keyFreq_1_0.3_frankenstein.txt</t>
  </si>
  <si>
    <t>pt_2000_8_keyFreq_4_1.2_frankenstein.txt</t>
  </si>
  <si>
    <t>pt_2000_8_keyFreq_3_0.8999999999999999_frankenstein.txt</t>
  </si>
  <si>
    <t>pt_2000_8_keyFreq_2_0.6_frankenstein.txt</t>
  </si>
  <si>
    <t>pt_2000_8_keyFreq_1_0.3_frankenstein.txt</t>
  </si>
  <si>
    <t>pt_2000_7_keyFreq_4_1.2_frankenstein.txt</t>
  </si>
  <si>
    <t>pt_2000_7_keyFreq_3_0.8999999999999999_frankenstein.txt</t>
  </si>
  <si>
    <t>pt_2000_7_keyFreq_2_0.6_frankenstein.txt</t>
  </si>
  <si>
    <t>pt_2000_7_keyFreq_1_0.3_frankenstein.txt</t>
  </si>
  <si>
    <t>pt_2000_6_keyFreq_4_1.2_frankenstein.txt</t>
  </si>
  <si>
    <t>pt_2000_6_keyFreq_3_0.8999999999999999_frankenstein.txt</t>
  </si>
  <si>
    <t>pt_2000_6_keyFreq_2_0.6_frankenstein.txt</t>
  </si>
  <si>
    <t>pt_2000_6_keyFreq_1_0.3_frankenstein.txt</t>
  </si>
  <si>
    <t>pt_2000_5_keyFreq_4_1.2_frankenstein.txt</t>
  </si>
  <si>
    <t>pt_2000_5_keyFreq_3_0.8999999999999999_frankenstein.txt</t>
  </si>
  <si>
    <t>pt_2000_5_keyFreq_2_0.6_frankenstein.txt</t>
  </si>
  <si>
    <t>pt_2000_5_keyFreq_1_0.3_frankenstein.txt</t>
  </si>
  <si>
    <t>pt_2000_4_keyFreq_4_1.2_frankenstein.txt</t>
  </si>
  <si>
    <t>pt_2000_4_keyFreq_3_0.8999999999999999_frankenstein.txt</t>
  </si>
  <si>
    <t>pt_2000_4_keyFreq_2_0.6_frankenstein.txt</t>
  </si>
  <si>
    <t>pt_2000_4_keyFreq_1_0.3_frankenstein.txt</t>
  </si>
  <si>
    <t>pt_2000_3_keyFreq_4_1.2_frankenstein.txt</t>
  </si>
  <si>
    <t>pt_2000_3_keyFreq_3_0.8999999999999999_frankenstein.txt</t>
  </si>
  <si>
    <t>pt_2000_3_keyFreq_2_0.6_frankenstein.txt</t>
  </si>
  <si>
    <t>pt_2000_3_keyFreq_1_0.3_frankenstein.txt</t>
  </si>
  <si>
    <t>pt_2000_2_keyFreq_4_1.2_frankenstein.txt</t>
  </si>
  <si>
    <t>pt_2000_2_keyFreq_3_0.8999999999999999_frankenstein.txt</t>
  </si>
  <si>
    <t>pt_2000_2_keyFreq_2_0.6_frankenstein.txt</t>
  </si>
  <si>
    <t>pt_2000_2_keyFreq_1_0.3_frankenstein.txt</t>
  </si>
  <si>
    <t>pt_2000_1_keyFreq_4_1.2_frankenstein.txt</t>
  </si>
  <si>
    <t>pt_2000_1_keyFreq_3_0.8999999999999999_frankenstein.txt</t>
  </si>
  <si>
    <t>pt_2000_1_keyFreq_2_0.6_frankenstein.txt</t>
  </si>
  <si>
    <t>pt_2000_1_keyFreq_1_0.3_frankenstein.txt</t>
  </si>
  <si>
    <t>pt_2000_10_keyFreq_4_1.2_frankenstein.txt</t>
  </si>
  <si>
    <t>pt_2000_10_keyFreq_3_0.8999999999999999_frankenstein.txt</t>
  </si>
  <si>
    <t>pt_2000_10_keyFreq_2_0.6_frankenstein.txt</t>
  </si>
  <si>
    <t>pt_2000_10_keyFreq_1_0.3_frankenstein.txt</t>
  </si>
  <si>
    <t>pt_2000_9_keyFreq_4_1.2_dorianGray.txt</t>
  </si>
  <si>
    <t>pt_2000_9_keyFreq_3_0.8999999999999999_dorianGray.txt</t>
  </si>
  <si>
    <t>pt_2000_9_keyFreq_2_0.6_dorianGray.txt</t>
  </si>
  <si>
    <t>pt_2000_9_keyFreq_1_0.3_dorianGray.txt</t>
  </si>
  <si>
    <t>pt_2000_8_keyFreq_4_1.2_dorianGray.txt</t>
  </si>
  <si>
    <t>pt_2000_8_keyFreq_3_0.8999999999999999_dorianGray.txt</t>
  </si>
  <si>
    <t>pt_2000_8_keyFreq_2_0.6_dorianGray.txt</t>
  </si>
  <si>
    <t>pt_2000_8_keyFreq_1_0.3_dorianGray.txt</t>
  </si>
  <si>
    <t>pt_2000_7_keyFreq_4_1.2_dorianGray.txt</t>
  </si>
  <si>
    <t>pt_2000_7_keyFreq_3_0.8999999999999999_dorianGray.txt</t>
  </si>
  <si>
    <t>pt_2000_7_keyFreq_2_0.6_dorianGray.txt</t>
  </si>
  <si>
    <t>pt_2000_7_keyFreq_1_0.3_dorianGray.txt</t>
  </si>
  <si>
    <t>pt_2000_6_keyFreq_4_1.2_dorianGray.txt</t>
  </si>
  <si>
    <t>pt_2000_6_keyFreq_3_0.8999999999999999_dorianGray.txt</t>
  </si>
  <si>
    <t>pt_2000_6_keyFreq_2_0.6_dorianGray.txt</t>
  </si>
  <si>
    <t>pt_2000_6_keyFreq_1_0.3_dorianGray.txt</t>
  </si>
  <si>
    <t>pt_2000_5_keyFreq_4_1.2_dorianGray.txt</t>
  </si>
  <si>
    <t>pt_2000_5_keyFreq_3_0.8999999999999999_dorianGray.txt</t>
  </si>
  <si>
    <t>pt_2000_5_keyFreq_2_0.6_dorianGray.txt</t>
  </si>
  <si>
    <t>pt_2000_5_keyFreq_1_0.3_dorianGray.txt</t>
  </si>
  <si>
    <t>pt_2000_4_keyFreq_4_1.2_dorianGray.txt</t>
  </si>
  <si>
    <t>pt_2000_4_keyFreq_3_0.8999999999999999_dorianGray.txt</t>
  </si>
  <si>
    <t>pt_2000_4_keyFreq_2_0.6_dorianGray.txt</t>
  </si>
  <si>
    <t>pt_2000_4_keyFreq_1_0.3_dorianGray.txt</t>
  </si>
  <si>
    <t>pt_2000_3_keyFreq_4_1.2_dorianGray.txt</t>
  </si>
  <si>
    <t>pt_2000_3_keyFreq_3_0.8999999999999999_dorianGray.txt</t>
  </si>
  <si>
    <t>pt_2000_3_keyFreq_2_0.6_dorianGray.txt</t>
  </si>
  <si>
    <t>pt_2000_3_keyFreq_1_0.3_dorianGray.txt</t>
  </si>
  <si>
    <t>pt_2000_2_keyFreq_4_1.2_dorianGray.txt</t>
  </si>
  <si>
    <t>pt_2000_2_keyFreq_3_0.8999999999999999_dorianGray.txt</t>
  </si>
  <si>
    <t>pt_2000_2_keyFreq_2_0.6_dorianGray.txt</t>
  </si>
  <si>
    <t>pt_2000_2_keyFreq_1_0.3_dorianGray.txt</t>
  </si>
  <si>
    <t>pt_2000_1_keyFreq_4_1.2_dorianGray.txt</t>
  </si>
  <si>
    <t>pt_2000_1_keyFreq_3_0.8999999999999999_dorianGray.txt</t>
  </si>
  <si>
    <t>pt_2000_1_keyFreq_2_0.6_dorianGray.txt</t>
  </si>
  <si>
    <t>pt_2000_1_keyFreq_1_0.3_dorianGray.txt</t>
  </si>
  <si>
    <t>pt_2000_10_keyFreq_4_1.2_dorianGray.txt</t>
  </si>
  <si>
    <t>pt_2000_10_keyFreq_3_0.8999999999999999_dorianGray.txt</t>
  </si>
  <si>
    <t>pt_2000_10_keyFreq_2_0.6_dorianGray.txt</t>
  </si>
  <si>
    <t>pt_2000_10_keyFreq_1_0.3_dorianGray.txt</t>
  </si>
  <si>
    <t>pt_100_9_keyFix_4_5_greatGatsby.txt</t>
  </si>
  <si>
    <t>pt_100_9_keyFix_3_4_greatGatsby.txt</t>
  </si>
  <si>
    <t>pt_100_9_keyFix_2_3_greatGatsby.txt</t>
  </si>
  <si>
    <t>pt_100_9_keyFix_1_2_greatGatsby.txt</t>
  </si>
  <si>
    <t>pt_100_8_keyFix_4_5_greatGatsby.txt</t>
  </si>
  <si>
    <t>pt_100_8_keyFix_3_4_greatGatsby.txt</t>
  </si>
  <si>
    <t>pt_100_8_keyFix_2_3_greatGatsby.txt</t>
  </si>
  <si>
    <t>pt_100_8_keyFix_1_2_greatGatsby.txt</t>
  </si>
  <si>
    <t>pt_100_7_keyFix_4_5_greatGatsby.txt</t>
  </si>
  <si>
    <t>pt_100_7_keyFix_3_4_greatGatsby.txt</t>
  </si>
  <si>
    <t>pt_100_7_keyFix_2_3_greatGatsby.txt</t>
  </si>
  <si>
    <t>pt_100_7_keyFix_1_2_greatGatsby.txt</t>
  </si>
  <si>
    <t>pt_100_6_keyFix_4_5_greatGatsby.txt</t>
  </si>
  <si>
    <t>pt_100_6_keyFix_3_4_greatGatsby.txt</t>
  </si>
  <si>
    <t>pt_100_6_keyFix_2_3_greatGatsby.txt</t>
  </si>
  <si>
    <t>pt_100_6_keyFix_1_2_greatGatsby.txt</t>
  </si>
  <si>
    <t>pt_100_5_keyFix_4_5_greatGatsby.txt</t>
  </si>
  <si>
    <t>pt_100_5_keyFix_3_4_greatGatsby.txt</t>
  </si>
  <si>
    <t>pt_100_5_keyFix_2_3_greatGatsby.txt</t>
  </si>
  <si>
    <t>pt_100_5_keyFix_1_2_greatGatsby.txt</t>
  </si>
  <si>
    <t>pt_100_4_keyFix_4_5_greatGatsby.txt</t>
  </si>
  <si>
    <t>pt_100_4_keyFix_3_4_greatGatsby.txt</t>
  </si>
  <si>
    <t>pt_100_4_keyFix_2_3_greatGatsby.txt</t>
  </si>
  <si>
    <t>pt_100_4_keyFix_1_2_greatGatsby.txt</t>
  </si>
  <si>
    <t>pt_100_3_keyFix_4_5_greatGatsby.txt</t>
  </si>
  <si>
    <t>pt_100_3_keyFix_3_4_greatGatsby.txt</t>
  </si>
  <si>
    <t>pt_100_3_keyFix_2_3_greatGatsby.txt</t>
  </si>
  <si>
    <t>pt_100_3_keyFix_1_2_greatGatsby.txt</t>
  </si>
  <si>
    <t>pt_100_2_keyFix_4_5_greatGatsby.txt</t>
  </si>
  <si>
    <t>pt_100_2_keyFix_3_4_greatGatsby.txt</t>
  </si>
  <si>
    <t>pt_100_2_keyFix_2_3_greatGatsby.txt</t>
  </si>
  <si>
    <t>pt_100_2_keyFix_1_2_greatGatsby.txt</t>
  </si>
  <si>
    <t>pt_100_1_keyFix_4_5_greatGatsby.txt</t>
  </si>
  <si>
    <t>pt_100_1_keyFix_3_4_greatGatsby.txt</t>
  </si>
  <si>
    <t>pt_100_1_keyFix_2_3_greatGatsby.txt</t>
  </si>
  <si>
    <t>pt_100_1_keyFix_1_2_greatGatsby.txt</t>
  </si>
  <si>
    <t>pt_100_10_keyFix_4_5_greatGatsby.txt</t>
  </si>
  <si>
    <t>pt_100_10_keyFix_3_4_greatGatsby.txt</t>
  </si>
  <si>
    <t>pt_100_10_keyFix_2_3_greatGatsby.txt</t>
  </si>
  <si>
    <t>pt_100_10_keyFix_1_2_greatGatsby.txt</t>
  </si>
  <si>
    <t>pt_100_9_keyFix_4_5_frankenstein.txt</t>
  </si>
  <si>
    <t>pt_100_9_keyFix_3_4_frankenstein.txt</t>
  </si>
  <si>
    <t>pt_100_9_keyFix_2_3_frankenstein.txt</t>
  </si>
  <si>
    <t>pt_100_9_keyFix_1_2_frankenstein.txt</t>
  </si>
  <si>
    <t>pt_100_8_keyFix_4_5_frankenstein.txt</t>
  </si>
  <si>
    <t>pt_100_8_keyFix_3_4_frankenstein.txt</t>
  </si>
  <si>
    <t>pt_100_8_keyFix_2_3_frankenstein.txt</t>
  </si>
  <si>
    <t>pt_100_8_keyFix_1_2_frankenstein.txt</t>
  </si>
  <si>
    <t>pt_100_7_keyFix_4_5_frankenstein.txt</t>
  </si>
  <si>
    <t>pt_100_7_keyFix_3_4_frankenstein.txt</t>
  </si>
  <si>
    <t>pt_100_7_keyFix_2_3_frankenstein.txt</t>
  </si>
  <si>
    <t>pt_100_7_keyFix_1_2_frankenstein.txt</t>
  </si>
  <si>
    <t>pt_100_6_keyFix_4_5_frankenstein.txt</t>
  </si>
  <si>
    <t>pt_100_6_keyFix_3_4_frankenstein.txt</t>
  </si>
  <si>
    <t>pt_100_6_keyFix_2_3_frankenstein.txt</t>
  </si>
  <si>
    <t>pt_100_6_keyFix_1_2_frankenstein.txt</t>
  </si>
  <si>
    <t>pt_100_5_keyFix_4_5_frankenstein.txt</t>
  </si>
  <si>
    <t>pt_100_5_keyFix_3_4_frankenstein.txt</t>
  </si>
  <si>
    <t>pt_100_5_keyFix_2_3_frankenstein.txt</t>
  </si>
  <si>
    <t>pt_100_5_keyFix_1_2_frankenstein.txt</t>
  </si>
  <si>
    <t>pt_100_4_keyFix_4_5_frankenstein.txt</t>
  </si>
  <si>
    <t>pt_100_4_keyFix_3_4_frankenstein.txt</t>
  </si>
  <si>
    <t>pt_100_4_keyFix_2_3_frankenstein.txt</t>
  </si>
  <si>
    <t>pt_100_4_keyFix_1_2_frankenstein.txt</t>
  </si>
  <si>
    <t>pt_100_3_keyFix_4_5_frankenstein.txt</t>
  </si>
  <si>
    <t>pt_100_3_keyFix_3_4_frankenstein.txt</t>
  </si>
  <si>
    <t>pt_100_3_keyFix_2_3_frankenstein.txt</t>
  </si>
  <si>
    <t>pt_100_3_keyFix_1_2_frankenstein.txt</t>
  </si>
  <si>
    <t>pt_100_2_keyFix_4_5_frankenstein.txt</t>
  </si>
  <si>
    <t>pt_100_2_keyFix_3_4_frankenstein.txt</t>
  </si>
  <si>
    <t>pt_100_2_keyFix_2_3_frankenstein.txt</t>
  </si>
  <si>
    <t>pt_100_2_keyFix_1_2_frankenstein.txt</t>
  </si>
  <si>
    <t>pt_100_1_keyFix_4_5_frankenstein.txt</t>
  </si>
  <si>
    <t>pt_100_1_keyFix_3_4_frankenstein.txt</t>
  </si>
  <si>
    <t>pt_100_1_keyFix_2_3_frankenstein.txt</t>
  </si>
  <si>
    <t>pt_100_1_keyFix_1_2_frankenstein.txt</t>
  </si>
  <si>
    <t>pt_100_10_keyFix_4_5_frankenstein.txt</t>
  </si>
  <si>
    <t>pt_100_10_keyFix_3_4_frankenstein.txt</t>
  </si>
  <si>
    <t>pt_100_10_keyFix_2_3_frankenstein.txt</t>
  </si>
  <si>
    <t>pt_100_10_keyFix_1_2_frankenstein.txt</t>
  </si>
  <si>
    <t>pt_100_9_keyFix_4_5_dorianGray.txt</t>
  </si>
  <si>
    <t>pt_100_9_keyFix_3_4_dorianGray.txt</t>
  </si>
  <si>
    <t>pt_100_9_keyFix_2_3_dorianGray.txt</t>
  </si>
  <si>
    <t>pt_100_9_keyFix_1_2_dorianGray.txt</t>
  </si>
  <si>
    <t>pt_100_8_keyFix_4_5_dorianGray.txt</t>
  </si>
  <si>
    <t>pt_100_8_keyFix_3_4_dorianGray.txt</t>
  </si>
  <si>
    <t>pt_100_8_keyFix_2_3_dorianGray.txt</t>
  </si>
  <si>
    <t>pt_100_8_keyFix_1_2_dorianGray.txt</t>
  </si>
  <si>
    <t>pt_100_7_keyFix_4_5_dorianGray.txt</t>
  </si>
  <si>
    <t>pt_100_7_keyFix_3_4_dorianGray.txt</t>
  </si>
  <si>
    <t>pt_100_7_keyFix_2_3_dorianGray.txt</t>
  </si>
  <si>
    <t>pt_100_7_keyFix_1_2_dorianGray.txt</t>
  </si>
  <si>
    <t>pt_100_6_keyFix_4_5_dorianGray.txt</t>
  </si>
  <si>
    <t>pt_100_6_keyFix_3_4_dorianGray.txt</t>
  </si>
  <si>
    <t>pt_100_6_keyFix_2_3_dorianGray.txt</t>
  </si>
  <si>
    <t>pt_100_6_keyFix_1_2_dorianGray.txt</t>
  </si>
  <si>
    <t>pt_100_5_keyFix_4_5_dorianGray.txt</t>
  </si>
  <si>
    <t>pt_100_5_keyFix_3_4_dorianGray.txt</t>
  </si>
  <si>
    <t>pt_100_5_keyFix_2_3_dorianGray.txt</t>
  </si>
  <si>
    <t>pt_100_5_keyFix_1_2_dorianGray.txt</t>
  </si>
  <si>
    <t>pt_100_4_keyFix_4_5_dorianGray.txt</t>
  </si>
  <si>
    <t>pt_100_4_keyFix_3_4_dorianGray.txt</t>
  </si>
  <si>
    <t>pt_100_4_keyFix_2_3_dorianGray.txt</t>
  </si>
  <si>
    <t>pt_100_4_keyFix_1_2_dorianGray.txt</t>
  </si>
  <si>
    <t>pt_100_3_keyFix_4_5_dorianGray.txt</t>
  </si>
  <si>
    <t>pt_100_3_keyFix_3_4_dorianGray.txt</t>
  </si>
  <si>
    <t>pt_100_3_keyFix_2_3_dorianGray.txt</t>
  </si>
  <si>
    <t>pt_100_3_keyFix_1_2_dorianGray.txt</t>
  </si>
  <si>
    <t>pt_100_2_keyFix_4_5_dorianGray.txt</t>
  </si>
  <si>
    <t>pt_100_2_keyFix_3_4_dorianGray.txt</t>
  </si>
  <si>
    <t>pt_100_2_keyFix_2_3_dorianGray.txt</t>
  </si>
  <si>
    <t>pt_100_2_keyFix_1_2_dorianGray.txt</t>
  </si>
  <si>
    <t>pt_100_1_keyFix_4_5_dorianGray.txt</t>
  </si>
  <si>
    <t>pt_100_1_keyFix_3_4_dorianGray.txt</t>
  </si>
  <si>
    <t>pt_100_1_keyFix_2_3_dorianGray.txt</t>
  </si>
  <si>
    <t>pt_100_1_keyFix_1_2_dorianGray.txt</t>
  </si>
  <si>
    <t>pt_100_10_keyFix_4_5_dorianGray.txt</t>
  </si>
  <si>
    <t>pt_100_10_keyFix_3_4_dorianGray.txt</t>
  </si>
  <si>
    <t>pt_100_10_keyFix_2_3_dorianGray.txt</t>
  </si>
  <si>
    <t>pt_100_10_keyFix_1_2_dorianGray.txt</t>
  </si>
  <si>
    <t>multiplicity</t>
  </si>
  <si>
    <t>name</t>
  </si>
  <si>
    <t>accuracy_avg</t>
  </si>
  <si>
    <t>accuracy_min</t>
  </si>
  <si>
    <t>accuracy_max</t>
  </si>
  <si>
    <t>m_avg</t>
  </si>
  <si>
    <t>100fix_2</t>
  </si>
  <si>
    <t>100fix_3</t>
  </si>
  <si>
    <t>100fix_4</t>
  </si>
  <si>
    <t>100fix_5</t>
  </si>
  <si>
    <t>250fix_2</t>
  </si>
  <si>
    <t>250fix_3</t>
  </si>
  <si>
    <t>250fix_4</t>
  </si>
  <si>
    <t>250fix_5</t>
  </si>
  <si>
    <t>500fix_2</t>
  </si>
  <si>
    <t>500fix_3</t>
  </si>
  <si>
    <t>500fix_4</t>
  </si>
  <si>
    <t>500fix_5</t>
  </si>
  <si>
    <t>1000fix_2</t>
  </si>
  <si>
    <t>1000fix_3</t>
  </si>
  <si>
    <t>1000fix_4</t>
  </si>
  <si>
    <t>1000fix_5</t>
  </si>
  <si>
    <t>2000fix_2</t>
  </si>
  <si>
    <t>2000fix_3</t>
  </si>
  <si>
    <t>2000fix_4</t>
  </si>
  <si>
    <t>2000fix_5</t>
  </si>
  <si>
    <t>100freq_0.3</t>
  </si>
  <si>
    <t>100freq_0.6</t>
  </si>
  <si>
    <t>100freq_0.9</t>
  </si>
  <si>
    <t>100freq_1.2</t>
  </si>
  <si>
    <t>250freq_0.3</t>
  </si>
  <si>
    <t>250freq_0.6</t>
  </si>
  <si>
    <t>250freq_0.9</t>
  </si>
  <si>
    <t>250freq_1.2</t>
  </si>
  <si>
    <t>500freq_0.3</t>
  </si>
  <si>
    <t>500freq_0.6</t>
  </si>
  <si>
    <t>500freq_0.9</t>
  </si>
  <si>
    <t>500freq_1.2</t>
  </si>
  <si>
    <t>1000freq_0.3</t>
  </si>
  <si>
    <t>1000freq_0.6</t>
  </si>
  <si>
    <t>1000freq_0.9</t>
  </si>
  <si>
    <t>1000freq_1.2</t>
  </si>
  <si>
    <t>2000freq_0.3</t>
  </si>
  <si>
    <t>2000freq_0.6</t>
  </si>
  <si>
    <t>2000freq_0.9</t>
  </si>
  <si>
    <t>2000freq_1.2</t>
  </si>
  <si>
    <t>m_avg*100(%)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</si>
</sst>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FIX</a:t>
            </a:r>
            <a:r>
              <a:rPr lang="en-GB" baseline="0"/>
              <a:t>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(Summary!$C$2,Summary!$C$10,Summary!$C$18,Summary!$C$26,Summary!$C$34)</c:f>
              <c:numCache>
                <c:formatCode>General</c:formatCode>
                <c:ptCount val="5"/>
                <c:pt idx="0">
                  <c:v>42.966666666666669</c:v>
                </c:pt>
                <c:pt idx="1">
                  <c:v>79.460000000000008</c:v>
                </c:pt>
                <c:pt idx="2">
                  <c:v>87.156666666666695</c:v>
                </c:pt>
                <c:pt idx="3">
                  <c:v>93.033333333333331</c:v>
                </c:pt>
                <c:pt idx="4">
                  <c:v>94.430000000000021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2-4C04-8D2C-84FFA9BA09B5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(Summary!$D$2,Summary!$D$10,Summary!$D$18,Summary!$D$26,Summary!$D$34)</c:f>
              <c:numCache>
                <c:formatCode>General</c:formatCode>
                <c:ptCount val="5"/>
                <c:pt idx="0">
                  <c:v>4</c:v>
                </c:pt>
                <c:pt idx="1">
                  <c:v>45</c:v>
                </c:pt>
                <c:pt idx="2">
                  <c:v>62.5</c:v>
                </c:pt>
                <c:pt idx="3">
                  <c:v>78.7</c:v>
                </c:pt>
                <c:pt idx="4">
                  <c:v>85.3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2-4C04-8D2C-84FFA9BA09B5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(Summary!$E$2,Summary!$E$10,Summary!$E$18,Summary!$E$26,Summary!$E$34)</c:f>
              <c:numCache>
                <c:formatCode>General</c:formatCode>
                <c:ptCount val="5"/>
                <c:pt idx="0">
                  <c:v>84.5</c:v>
                </c:pt>
                <c:pt idx="1">
                  <c:v>97.6</c:v>
                </c:pt>
                <c:pt idx="2">
                  <c:v>97.8</c:v>
                </c:pt>
                <c:pt idx="3">
                  <c:v>98.9</c:v>
                </c:pt>
                <c:pt idx="4">
                  <c:v>98.6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32-4C04-8D2C-84FFA9BA0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429632"/>
        <c:axId val="1531434912"/>
      </c:barChart>
      <c:catAx>
        <c:axId val="15314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31434912"/>
        <c:crosses val="autoZero"/>
        <c:auto val="1"/>
        <c:lblAlgn val="ctr"/>
        <c:lblOffset val="100"/>
        <c:noMultiLvlLbl val="0"/>
      </c:catAx>
      <c:valAx>
        <c:axId val="153143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314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FIX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(Summary!$C$3,Summary!$C$11,Summary!$C$19,Summary!$C$27,Summary!$C$35)</c:f>
              <c:numCache>
                <c:formatCode>General</c:formatCode>
                <c:ptCount val="5"/>
                <c:pt idx="0">
                  <c:v>23.85</c:v>
                </c:pt>
                <c:pt idx="1">
                  <c:v>49.896666666666668</c:v>
                </c:pt>
                <c:pt idx="2">
                  <c:v>63.226666666666674</c:v>
                </c:pt>
                <c:pt idx="3">
                  <c:v>75.626666666666651</c:v>
                </c:pt>
                <c:pt idx="4">
                  <c:v>76.553333333333313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4-4B7F-B61B-A8C0B69A0B76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(Summary!$D$3,Summary!$D$11,Summary!$D$19,Summary!$D$27,Summary!$D$35)</c:f>
              <c:numCache>
                <c:formatCode>General</c:formatCode>
                <c:ptCount val="5"/>
                <c:pt idx="0">
                  <c:v>5</c:v>
                </c:pt>
                <c:pt idx="1">
                  <c:v>17.899999999999999</c:v>
                </c:pt>
                <c:pt idx="2">
                  <c:v>42.6</c:v>
                </c:pt>
                <c:pt idx="3">
                  <c:v>45.4</c:v>
                </c:pt>
                <c:pt idx="4">
                  <c:v>42.1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84-4B7F-B61B-A8C0B69A0B76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(Summary!$E$3,Summary!$E$11,Summary!$E$19,Summary!$E$27,Summary!$E$35)</c:f>
              <c:numCache>
                <c:formatCode>General</c:formatCode>
                <c:ptCount val="5"/>
                <c:pt idx="0">
                  <c:v>58</c:v>
                </c:pt>
                <c:pt idx="1">
                  <c:v>73.3</c:v>
                </c:pt>
                <c:pt idx="2">
                  <c:v>91.7</c:v>
                </c:pt>
                <c:pt idx="3">
                  <c:v>95.6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84-4B7F-B61B-A8C0B69A0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670368"/>
        <c:axId val="1338670848"/>
      </c:barChart>
      <c:catAx>
        <c:axId val="133867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8670848"/>
        <c:crosses val="autoZero"/>
        <c:auto val="1"/>
        <c:lblAlgn val="ctr"/>
        <c:lblOffset val="100"/>
        <c:noMultiLvlLbl val="0"/>
      </c:catAx>
      <c:valAx>
        <c:axId val="133867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867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FIX 4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(Summary!$C$4,Summary!$C$12,Summary!$C$20,Summary!$C$28,Summary!$C$36)</c:f>
              <c:numCache>
                <c:formatCode>General</c:formatCode>
                <c:ptCount val="5"/>
                <c:pt idx="0">
                  <c:v>14.889999999999999</c:v>
                </c:pt>
                <c:pt idx="1">
                  <c:v>39.349999999999994</c:v>
                </c:pt>
                <c:pt idx="2">
                  <c:v>50.5</c:v>
                </c:pt>
                <c:pt idx="3">
                  <c:v>57.553333333333327</c:v>
                </c:pt>
                <c:pt idx="4">
                  <c:v>60.353333333333339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D-4DD8-A008-30178C40664E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(Summary!$D$4,Summary!$D$12,Summary!$D$20,Summary!$D$28,Summary!$D$36)</c:f>
              <c:numCache>
                <c:formatCode>General</c:formatCode>
                <c:ptCount val="5"/>
                <c:pt idx="0">
                  <c:v>0</c:v>
                </c:pt>
                <c:pt idx="1">
                  <c:v>11.1</c:v>
                </c:pt>
                <c:pt idx="2">
                  <c:v>34.9</c:v>
                </c:pt>
                <c:pt idx="3">
                  <c:v>38</c:v>
                </c:pt>
                <c:pt idx="4">
                  <c:v>41.2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D-4DD8-A008-30178C40664E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(Summary!$E$4,Summary!$E$12,Summary!$E$20,Summary!$E$28,Summary!$E$36)</c:f>
              <c:numCache>
                <c:formatCode>General</c:formatCode>
                <c:ptCount val="5"/>
                <c:pt idx="0">
                  <c:v>40.799999999999997</c:v>
                </c:pt>
                <c:pt idx="1">
                  <c:v>66.900000000000006</c:v>
                </c:pt>
                <c:pt idx="2">
                  <c:v>65.599999999999994</c:v>
                </c:pt>
                <c:pt idx="3">
                  <c:v>96.4</c:v>
                </c:pt>
                <c:pt idx="4">
                  <c:v>91.9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0D-4DD8-A008-30178C406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2636544"/>
        <c:axId val="1862033472"/>
      </c:barChart>
      <c:catAx>
        <c:axId val="185263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62033472"/>
        <c:crosses val="autoZero"/>
        <c:auto val="1"/>
        <c:lblAlgn val="ctr"/>
        <c:lblOffset val="100"/>
        <c:noMultiLvlLbl val="0"/>
      </c:catAx>
      <c:valAx>
        <c:axId val="186203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5263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FIX 5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(Summary!$C$5,Summary!$C$13,Summary!$C$21,Summary!$C$29,Summary!$C$37)</c:f>
              <c:numCache>
                <c:formatCode>General</c:formatCode>
                <c:ptCount val="5"/>
                <c:pt idx="0">
                  <c:v>16.740000000000002</c:v>
                </c:pt>
                <c:pt idx="1">
                  <c:v>30.93</c:v>
                </c:pt>
                <c:pt idx="2">
                  <c:v>42.76</c:v>
                </c:pt>
                <c:pt idx="3">
                  <c:v>50.01666666666668</c:v>
                </c:pt>
                <c:pt idx="4">
                  <c:v>52.963333333333338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5-47B8-8D44-B801BB4493A7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(Summary!$D$5,Summary!$D$13,Summary!$D$21,Summary!$D$29,Summary!$D$37)</c:f>
              <c:numCache>
                <c:formatCode>General</c:formatCode>
                <c:ptCount val="5"/>
                <c:pt idx="0">
                  <c:v>2.9</c:v>
                </c:pt>
                <c:pt idx="1">
                  <c:v>7.2</c:v>
                </c:pt>
                <c:pt idx="2">
                  <c:v>29.6</c:v>
                </c:pt>
                <c:pt idx="3">
                  <c:v>36.5</c:v>
                </c:pt>
                <c:pt idx="4">
                  <c:v>40.9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35-47B8-8D44-B801BB4493A7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(Summary!$E$5,Summary!$E$13,Summary!$E$21,Summary!$E$29,Summary!$E$37)</c:f>
              <c:numCache>
                <c:formatCode>General</c:formatCode>
                <c:ptCount val="5"/>
                <c:pt idx="0">
                  <c:v>34.9</c:v>
                </c:pt>
                <c:pt idx="1">
                  <c:v>49.2</c:v>
                </c:pt>
                <c:pt idx="2">
                  <c:v>65</c:v>
                </c:pt>
                <c:pt idx="3">
                  <c:v>73.5</c:v>
                </c:pt>
                <c:pt idx="4">
                  <c:v>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35-47B8-8D44-B801BB449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420032"/>
        <c:axId val="1531423872"/>
      </c:barChart>
      <c:catAx>
        <c:axId val="153142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31423872"/>
        <c:crosses val="autoZero"/>
        <c:auto val="1"/>
        <c:lblAlgn val="ctr"/>
        <c:lblOffset val="100"/>
        <c:noMultiLvlLbl val="0"/>
      </c:catAx>
      <c:valAx>
        <c:axId val="153142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3142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FREQ 0.3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(Summary!$C$6,Summary!$C$14,Summary!$C$22,Summary!$C$30,Summary!$C$38)</c:f>
              <c:numCache>
                <c:formatCode>General</c:formatCode>
                <c:ptCount val="5"/>
                <c:pt idx="0">
                  <c:v>16.823333333333338</c:v>
                </c:pt>
                <c:pt idx="1">
                  <c:v>74.493333333333339</c:v>
                </c:pt>
                <c:pt idx="2">
                  <c:v>79.989999999999995</c:v>
                </c:pt>
                <c:pt idx="3">
                  <c:v>72.896666666666675</c:v>
                </c:pt>
                <c:pt idx="4">
                  <c:v>71.216666666666669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0-4648-A5F0-DF0F8842C7B8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(Summary!$D$6,Summary!$D$14,Summary!$D$22,Summary!$D$30,Summary!$D$38)</c:f>
              <c:numCache>
                <c:formatCode>General</c:formatCode>
                <c:ptCount val="5"/>
                <c:pt idx="0">
                  <c:v>0</c:v>
                </c:pt>
                <c:pt idx="1">
                  <c:v>31.6</c:v>
                </c:pt>
                <c:pt idx="2">
                  <c:v>44.7</c:v>
                </c:pt>
                <c:pt idx="3">
                  <c:v>33</c:v>
                </c:pt>
                <c:pt idx="4">
                  <c:v>46.6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0-4648-A5F0-DF0F8842C7B8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(Summary!$E$6,Summary!$E$14,Summary!$E$22,Summary!$E$30,Summary!$E$38)</c:f>
              <c:numCache>
                <c:formatCode>General</c:formatCode>
                <c:ptCount val="5"/>
                <c:pt idx="0">
                  <c:v>64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0-4648-A5F0-DF0F8842C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477472"/>
        <c:axId val="1864477952"/>
      </c:barChart>
      <c:catAx>
        <c:axId val="186447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64477952"/>
        <c:crosses val="autoZero"/>
        <c:auto val="1"/>
        <c:lblAlgn val="ctr"/>
        <c:lblOffset val="100"/>
        <c:noMultiLvlLbl val="0"/>
      </c:catAx>
      <c:valAx>
        <c:axId val="186447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6447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0.6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(Summary!$C$7,Summary!$C$15,Summary!$C$23,Summary!$C$31,Summary!$C$39)</c:f>
              <c:numCache>
                <c:formatCode>General</c:formatCode>
                <c:ptCount val="5"/>
                <c:pt idx="0">
                  <c:v>9.4699999999999989</c:v>
                </c:pt>
                <c:pt idx="1">
                  <c:v>20.230000000000004</c:v>
                </c:pt>
                <c:pt idx="2">
                  <c:v>56.850000000000009</c:v>
                </c:pt>
                <c:pt idx="3">
                  <c:v>71.13666666666667</c:v>
                </c:pt>
                <c:pt idx="4">
                  <c:v>83.296666666666653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9-4590-9D75-D6C72B7CCC8F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(Summary!$D$7,Summary!$D$15,Summary!$D$23,Summary!$D$31,Summary!$D$39)</c:f>
              <c:numCache>
                <c:formatCode>General</c:formatCode>
                <c:ptCount val="5"/>
                <c:pt idx="0">
                  <c:v>1</c:v>
                </c:pt>
                <c:pt idx="1">
                  <c:v>0.8</c:v>
                </c:pt>
                <c:pt idx="2">
                  <c:v>16</c:v>
                </c:pt>
                <c:pt idx="3">
                  <c:v>45.5</c:v>
                </c:pt>
                <c:pt idx="4">
                  <c:v>63.7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9-4590-9D75-D6C72B7CCC8F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(Summary!$E$7,Summary!$E$15,Summary!$E$23,Summary!$E$31,Summary!$E$39)</c:f>
              <c:numCache>
                <c:formatCode>General</c:formatCode>
                <c:ptCount val="5"/>
                <c:pt idx="0">
                  <c:v>24.3</c:v>
                </c:pt>
                <c:pt idx="1">
                  <c:v>52</c:v>
                </c:pt>
                <c:pt idx="2">
                  <c:v>92.7</c:v>
                </c:pt>
                <c:pt idx="3">
                  <c:v>97.6</c:v>
                </c:pt>
                <c:pt idx="4">
                  <c:v>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89-4590-9D75-D6C72B7CC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2021920"/>
        <c:axId val="1852024320"/>
      </c:barChart>
      <c:catAx>
        <c:axId val="185202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52024320"/>
        <c:crosses val="autoZero"/>
        <c:auto val="1"/>
        <c:lblAlgn val="ctr"/>
        <c:lblOffset val="100"/>
        <c:noMultiLvlLbl val="0"/>
      </c:catAx>
      <c:valAx>
        <c:axId val="18520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5202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0.9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(Summary!$C$8,Summary!$C$16,Summary!$C$24,Summary!$C$32,Summary!$C$40)</c:f>
              <c:numCache>
                <c:formatCode>General</c:formatCode>
                <c:ptCount val="5"/>
                <c:pt idx="0">
                  <c:v>8.7433333333333358</c:v>
                </c:pt>
                <c:pt idx="1">
                  <c:v>14.876666666666669</c:v>
                </c:pt>
                <c:pt idx="2">
                  <c:v>29.803333333333335</c:v>
                </c:pt>
                <c:pt idx="3">
                  <c:v>53.693333333333321</c:v>
                </c:pt>
                <c:pt idx="4">
                  <c:v>69.209999999999994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1-4D20-BBC0-2C5E57CE8ABE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(Summary!$D$8,Summary!$D$16,Summary!$D$24,Summary!$D$32,Summary!$D$40)</c:f>
              <c:numCache>
                <c:formatCode>General</c:formatCode>
                <c:ptCount val="5"/>
                <c:pt idx="0">
                  <c:v>0</c:v>
                </c:pt>
                <c:pt idx="1">
                  <c:v>3.6</c:v>
                </c:pt>
                <c:pt idx="2">
                  <c:v>5.6</c:v>
                </c:pt>
                <c:pt idx="3">
                  <c:v>31.3</c:v>
                </c:pt>
                <c:pt idx="4">
                  <c:v>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B1-4D20-BBC0-2C5E57CE8ABE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(Summary!$E$8,Summary!$E$16,Summary!$E$24,Summary!$E$32,Summary!$E$40)</c:f>
              <c:numCache>
                <c:formatCode>General</c:formatCode>
                <c:ptCount val="5"/>
                <c:pt idx="0">
                  <c:v>25</c:v>
                </c:pt>
                <c:pt idx="1">
                  <c:v>48.6</c:v>
                </c:pt>
                <c:pt idx="2">
                  <c:v>48.7</c:v>
                </c:pt>
                <c:pt idx="3">
                  <c:v>88.6</c:v>
                </c:pt>
                <c:pt idx="4">
                  <c:v>96.1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B1-4D20-BBC0-2C5E57CE8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736560"/>
        <c:axId val="1862742320"/>
      </c:barChart>
      <c:catAx>
        <c:axId val="186273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62742320"/>
        <c:crosses val="autoZero"/>
        <c:auto val="1"/>
        <c:lblAlgn val="ctr"/>
        <c:lblOffset val="100"/>
        <c:noMultiLvlLbl val="0"/>
      </c:catAx>
      <c:valAx>
        <c:axId val="18627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6273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1.2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(Summary!$C$9,Summary!$C$17,Summary!$C$25,Summary!$C$33,Summary!$C$41)</c:f>
              <c:numCache>
                <c:formatCode>General</c:formatCode>
                <c:ptCount val="5"/>
                <c:pt idx="0">
                  <c:v>8.67</c:v>
                </c:pt>
                <c:pt idx="1">
                  <c:v>10.716666666666667</c:v>
                </c:pt>
                <c:pt idx="2">
                  <c:v>21.47333333333334</c:v>
                </c:pt>
                <c:pt idx="3">
                  <c:v>45.396666666666675</c:v>
                </c:pt>
                <c:pt idx="4">
                  <c:v>56.523333333333348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7-49AF-9CD9-38D8573752DE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(Summary!$D$9,Summary!$D$17,Summary!$D$25,Summary!$D$33,Summary!$D$41)</c:f>
              <c:numCache>
                <c:formatCode>General</c:formatCode>
                <c:ptCount val="5"/>
                <c:pt idx="0">
                  <c:v>1.9</c:v>
                </c:pt>
                <c:pt idx="1">
                  <c:v>3.2</c:v>
                </c:pt>
                <c:pt idx="2">
                  <c:v>2.6</c:v>
                </c:pt>
                <c:pt idx="3">
                  <c:v>31</c:v>
                </c:pt>
                <c:pt idx="4">
                  <c:v>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7-49AF-9CD9-38D8573752DE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(Summary!$E$9,Summary!$E$17,Summary!$E$25,Summary!$E$33,Summary!$E$41)</c:f>
              <c:numCache>
                <c:formatCode>General</c:formatCode>
                <c:ptCount val="5"/>
                <c:pt idx="0">
                  <c:v>23.4</c:v>
                </c:pt>
                <c:pt idx="1">
                  <c:v>27.9</c:v>
                </c:pt>
                <c:pt idx="2">
                  <c:v>44.4</c:v>
                </c:pt>
                <c:pt idx="3">
                  <c:v>60.6</c:v>
                </c:pt>
                <c:pt idx="4">
                  <c:v>73.2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B7-49AF-9CD9-38D857375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417808"/>
        <c:axId val="1862418768"/>
      </c:barChart>
      <c:catAx>
        <c:axId val="18624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62418768"/>
        <c:crosses val="autoZero"/>
        <c:auto val="1"/>
        <c:lblAlgn val="ctr"/>
        <c:lblOffset val="100"/>
        <c:noMultiLvlLbl val="0"/>
      </c:catAx>
      <c:valAx>
        <c:axId val="186241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6241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zmena accuracy podla dlzky a fix param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(Summary!$C$2:$C$5,Summary!$C$10:$C$13,Summary!$C$18:$C$21,Summary!$C$26:$C$29,Summary!$C$34:$C$37)</c:f>
              <c:numCache>
                <c:formatCode>General</c:formatCode>
                <c:ptCount val="20"/>
                <c:pt idx="0">
                  <c:v>42.966666666666669</c:v>
                </c:pt>
                <c:pt idx="1">
                  <c:v>23.85</c:v>
                </c:pt>
                <c:pt idx="2">
                  <c:v>14.889999999999999</c:v>
                </c:pt>
                <c:pt idx="3">
                  <c:v>16.740000000000002</c:v>
                </c:pt>
                <c:pt idx="4">
                  <c:v>79.460000000000008</c:v>
                </c:pt>
                <c:pt idx="5">
                  <c:v>49.896666666666668</c:v>
                </c:pt>
                <c:pt idx="6">
                  <c:v>39.349999999999994</c:v>
                </c:pt>
                <c:pt idx="7">
                  <c:v>30.93</c:v>
                </c:pt>
                <c:pt idx="8">
                  <c:v>87.156666666666695</c:v>
                </c:pt>
                <c:pt idx="9">
                  <c:v>63.226666666666674</c:v>
                </c:pt>
                <c:pt idx="10">
                  <c:v>50.5</c:v>
                </c:pt>
                <c:pt idx="11">
                  <c:v>42.76</c:v>
                </c:pt>
                <c:pt idx="12">
                  <c:v>93.033333333333331</c:v>
                </c:pt>
                <c:pt idx="13">
                  <c:v>75.626666666666651</c:v>
                </c:pt>
                <c:pt idx="14">
                  <c:v>57.553333333333327</c:v>
                </c:pt>
                <c:pt idx="15">
                  <c:v>50.01666666666668</c:v>
                </c:pt>
                <c:pt idx="16">
                  <c:v>94.430000000000021</c:v>
                </c:pt>
                <c:pt idx="17">
                  <c:v>76.553333333333313</c:v>
                </c:pt>
                <c:pt idx="18">
                  <c:v>60.353333333333339</c:v>
                </c:pt>
                <c:pt idx="19">
                  <c:v>52.963333333333338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DE-495A-AE38-2D787BE3C4D5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(Summary!$D$2:$D$5,Summary!$D$10:$D$13,Summary!$D$18:$D$21,Summary!$D$26:$D$29,Summary!$D$34:$D$37)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0</c:v>
                </c:pt>
                <c:pt idx="3">
                  <c:v>2.9</c:v>
                </c:pt>
                <c:pt idx="4">
                  <c:v>45</c:v>
                </c:pt>
                <c:pt idx="5">
                  <c:v>17.899999999999999</c:v>
                </c:pt>
                <c:pt idx="6">
                  <c:v>11.1</c:v>
                </c:pt>
                <c:pt idx="7">
                  <c:v>7.2</c:v>
                </c:pt>
                <c:pt idx="8">
                  <c:v>62.5</c:v>
                </c:pt>
                <c:pt idx="9">
                  <c:v>42.6</c:v>
                </c:pt>
                <c:pt idx="10">
                  <c:v>34.9</c:v>
                </c:pt>
                <c:pt idx="11">
                  <c:v>29.6</c:v>
                </c:pt>
                <c:pt idx="12">
                  <c:v>78.7</c:v>
                </c:pt>
                <c:pt idx="13">
                  <c:v>45.4</c:v>
                </c:pt>
                <c:pt idx="14">
                  <c:v>38</c:v>
                </c:pt>
                <c:pt idx="15">
                  <c:v>36.5</c:v>
                </c:pt>
                <c:pt idx="16">
                  <c:v>85.3</c:v>
                </c:pt>
                <c:pt idx="17">
                  <c:v>42.1</c:v>
                </c:pt>
                <c:pt idx="18">
                  <c:v>41.2</c:v>
                </c:pt>
                <c:pt idx="19">
                  <c:v>40.9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DE-495A-AE38-2D787BE3C4D5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(Summary!$E$2:$E$5,Summary!$E$10:$E$13,Summary!$E$18:$E$21,Summary!$E$26:$E$29,Summary!$E$34:$E$37)</c:f>
              <c:numCache>
                <c:formatCode>General</c:formatCode>
                <c:ptCount val="20"/>
                <c:pt idx="0">
                  <c:v>84.5</c:v>
                </c:pt>
                <c:pt idx="1">
                  <c:v>58</c:v>
                </c:pt>
                <c:pt idx="2">
                  <c:v>40.799999999999997</c:v>
                </c:pt>
                <c:pt idx="3">
                  <c:v>34.9</c:v>
                </c:pt>
                <c:pt idx="4">
                  <c:v>97.6</c:v>
                </c:pt>
                <c:pt idx="5">
                  <c:v>73.3</c:v>
                </c:pt>
                <c:pt idx="6">
                  <c:v>66.900000000000006</c:v>
                </c:pt>
                <c:pt idx="7">
                  <c:v>49.2</c:v>
                </c:pt>
                <c:pt idx="8">
                  <c:v>97.8</c:v>
                </c:pt>
                <c:pt idx="9">
                  <c:v>91.7</c:v>
                </c:pt>
                <c:pt idx="10">
                  <c:v>65.599999999999994</c:v>
                </c:pt>
                <c:pt idx="11">
                  <c:v>65</c:v>
                </c:pt>
                <c:pt idx="12">
                  <c:v>98.9</c:v>
                </c:pt>
                <c:pt idx="13">
                  <c:v>95.6</c:v>
                </c:pt>
                <c:pt idx="14">
                  <c:v>96.4</c:v>
                </c:pt>
                <c:pt idx="15">
                  <c:v>73.5</c:v>
                </c:pt>
                <c:pt idx="16">
                  <c:v>98.6</c:v>
                </c:pt>
                <c:pt idx="17">
                  <c:v>98</c:v>
                </c:pt>
                <c:pt idx="18">
                  <c:v>91.9</c:v>
                </c:pt>
                <c:pt idx="19">
                  <c:v>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DE-495A-AE38-2D787BE3C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896592"/>
        <c:axId val="1242895152"/>
      </c:lineChart>
      <c:catAx>
        <c:axId val="12428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242895152"/>
        <c:crosses val="autoZero"/>
        <c:auto val="1"/>
        <c:lblAlgn val="ctr"/>
        <c:lblOffset val="100"/>
        <c:noMultiLvlLbl val="0"/>
      </c:catAx>
      <c:valAx>
        <c:axId val="124289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24289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zmena accuracy podla dlzky a freq param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(Summary!$C$6:$C$9,Summary!$C$14:$C$17,Summary!$C$22:$C$25,Summary!$C$30:$C$33,Summary!$C$38:$C$41)</c:f>
              <c:numCache>
                <c:formatCode>General</c:formatCode>
                <c:ptCount val="20"/>
                <c:pt idx="0">
                  <c:v>16.823333333333338</c:v>
                </c:pt>
                <c:pt idx="1">
                  <c:v>9.4699999999999989</c:v>
                </c:pt>
                <c:pt idx="2">
                  <c:v>8.7433333333333358</c:v>
                </c:pt>
                <c:pt idx="3">
                  <c:v>8.67</c:v>
                </c:pt>
                <c:pt idx="4">
                  <c:v>74.493333333333339</c:v>
                </c:pt>
                <c:pt idx="5">
                  <c:v>20.230000000000004</c:v>
                </c:pt>
                <c:pt idx="6">
                  <c:v>14.876666666666669</c:v>
                </c:pt>
                <c:pt idx="7">
                  <c:v>10.716666666666667</c:v>
                </c:pt>
                <c:pt idx="8">
                  <c:v>79.989999999999995</c:v>
                </c:pt>
                <c:pt idx="9">
                  <c:v>56.850000000000009</c:v>
                </c:pt>
                <c:pt idx="10">
                  <c:v>29.803333333333335</c:v>
                </c:pt>
                <c:pt idx="11">
                  <c:v>21.47333333333334</c:v>
                </c:pt>
                <c:pt idx="12">
                  <c:v>72.896666666666675</c:v>
                </c:pt>
                <c:pt idx="13">
                  <c:v>71.13666666666667</c:v>
                </c:pt>
                <c:pt idx="14">
                  <c:v>53.693333333333321</c:v>
                </c:pt>
                <c:pt idx="15">
                  <c:v>45.396666666666675</c:v>
                </c:pt>
                <c:pt idx="16">
                  <c:v>71.216666666666669</c:v>
                </c:pt>
                <c:pt idx="17">
                  <c:v>83.296666666666653</c:v>
                </c:pt>
                <c:pt idx="18">
                  <c:v>69.209999999999994</c:v>
                </c:pt>
                <c:pt idx="19">
                  <c:v>56.523333333333348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C-4504-88BF-CCF5D25E98AB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(Summary!$D$6:$D$9,Summary!$D$14:$D$17,Summary!$D$22:$D$25,Summary!$D$30:$D$33,Summary!$D$38:$D$41)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1.9</c:v>
                </c:pt>
                <c:pt idx="4">
                  <c:v>31.6</c:v>
                </c:pt>
                <c:pt idx="5">
                  <c:v>0.8</c:v>
                </c:pt>
                <c:pt idx="6">
                  <c:v>3.6</c:v>
                </c:pt>
                <c:pt idx="7">
                  <c:v>3.2</c:v>
                </c:pt>
                <c:pt idx="8">
                  <c:v>44.7</c:v>
                </c:pt>
                <c:pt idx="9">
                  <c:v>16</c:v>
                </c:pt>
                <c:pt idx="10">
                  <c:v>5.6</c:v>
                </c:pt>
                <c:pt idx="11">
                  <c:v>2.6</c:v>
                </c:pt>
                <c:pt idx="12">
                  <c:v>33</c:v>
                </c:pt>
                <c:pt idx="13">
                  <c:v>45.5</c:v>
                </c:pt>
                <c:pt idx="14">
                  <c:v>31.3</c:v>
                </c:pt>
                <c:pt idx="15">
                  <c:v>31</c:v>
                </c:pt>
                <c:pt idx="16">
                  <c:v>46.6</c:v>
                </c:pt>
                <c:pt idx="17">
                  <c:v>63.7</c:v>
                </c:pt>
                <c:pt idx="18">
                  <c:v>47.5</c:v>
                </c:pt>
                <c:pt idx="19">
                  <c:v>38.5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0C-4504-88BF-CCF5D25E98AB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(Summary!$E$6:$E$9,Summary!$E$14:$E$17,Summary!$E$22:$E$25,Summary!$E$30:$E$33,Summary!$E$38:$E$41)</c:f>
              <c:numCache>
                <c:formatCode>General</c:formatCode>
                <c:ptCount val="20"/>
                <c:pt idx="0">
                  <c:v>64</c:v>
                </c:pt>
                <c:pt idx="1">
                  <c:v>24.3</c:v>
                </c:pt>
                <c:pt idx="2">
                  <c:v>25</c:v>
                </c:pt>
                <c:pt idx="3">
                  <c:v>23.4</c:v>
                </c:pt>
                <c:pt idx="4">
                  <c:v>100</c:v>
                </c:pt>
                <c:pt idx="5">
                  <c:v>52</c:v>
                </c:pt>
                <c:pt idx="6">
                  <c:v>48.6</c:v>
                </c:pt>
                <c:pt idx="7">
                  <c:v>27.9</c:v>
                </c:pt>
                <c:pt idx="8">
                  <c:v>100</c:v>
                </c:pt>
                <c:pt idx="9">
                  <c:v>92.7</c:v>
                </c:pt>
                <c:pt idx="10">
                  <c:v>48.7</c:v>
                </c:pt>
                <c:pt idx="11">
                  <c:v>44.4</c:v>
                </c:pt>
                <c:pt idx="12">
                  <c:v>100</c:v>
                </c:pt>
                <c:pt idx="13">
                  <c:v>97.6</c:v>
                </c:pt>
                <c:pt idx="14">
                  <c:v>88.6</c:v>
                </c:pt>
                <c:pt idx="15">
                  <c:v>60.6</c:v>
                </c:pt>
                <c:pt idx="16">
                  <c:v>100</c:v>
                </c:pt>
                <c:pt idx="17">
                  <c:v>97.4</c:v>
                </c:pt>
                <c:pt idx="18">
                  <c:v>96.1</c:v>
                </c:pt>
                <c:pt idx="19">
                  <c:v>73.2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0C-4504-88BF-CCF5D25E9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851840"/>
        <c:axId val="1872848480"/>
      </c:lineChart>
      <c:catAx>
        <c:axId val="187285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72848480"/>
        <c:crosses val="autoZero"/>
        <c:auto val="1"/>
        <c:lblAlgn val="ctr"/>
        <c:lblOffset val="100"/>
        <c:noMultiLvlLbl val="0"/>
      </c:catAx>
      <c:valAx>
        <c:axId val="18728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7285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zavislost avg accuracy od multiplicity v percentach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m_avg*100(%)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Summary!$C$2:$C$41</c:f>
              <c:numCache>
                <c:formatCode>General</c:formatCode>
                <c:ptCount val="40"/>
                <c:pt idx="0">
                  <c:v>42.966666666666669</c:v>
                </c:pt>
                <c:pt idx="1">
                  <c:v>23.85</c:v>
                </c:pt>
                <c:pt idx="2">
                  <c:v>14.889999999999999</c:v>
                </c:pt>
                <c:pt idx="3">
                  <c:v>16.740000000000002</c:v>
                </c:pt>
                <c:pt idx="4">
                  <c:v>16.823333333333338</c:v>
                </c:pt>
                <c:pt idx="5">
                  <c:v>9.4699999999999989</c:v>
                </c:pt>
                <c:pt idx="6">
                  <c:v>8.7433333333333358</c:v>
                </c:pt>
                <c:pt idx="7">
                  <c:v>8.67</c:v>
                </c:pt>
                <c:pt idx="8">
                  <c:v>79.460000000000008</c:v>
                </c:pt>
                <c:pt idx="9">
                  <c:v>49.896666666666668</c:v>
                </c:pt>
                <c:pt idx="10">
                  <c:v>39.349999999999994</c:v>
                </c:pt>
                <c:pt idx="11">
                  <c:v>30.93</c:v>
                </c:pt>
                <c:pt idx="12">
                  <c:v>74.493333333333339</c:v>
                </c:pt>
                <c:pt idx="13">
                  <c:v>20.230000000000004</c:v>
                </c:pt>
                <c:pt idx="14">
                  <c:v>14.876666666666669</c:v>
                </c:pt>
                <c:pt idx="15">
                  <c:v>10.716666666666667</c:v>
                </c:pt>
                <c:pt idx="16">
                  <c:v>87.156666666666695</c:v>
                </c:pt>
                <c:pt idx="17">
                  <c:v>63.226666666666674</c:v>
                </c:pt>
                <c:pt idx="18">
                  <c:v>50.5</c:v>
                </c:pt>
                <c:pt idx="19">
                  <c:v>42.76</c:v>
                </c:pt>
                <c:pt idx="20">
                  <c:v>79.989999999999995</c:v>
                </c:pt>
                <c:pt idx="21">
                  <c:v>56.850000000000009</c:v>
                </c:pt>
                <c:pt idx="22">
                  <c:v>29.803333333333335</c:v>
                </c:pt>
                <c:pt idx="23">
                  <c:v>21.47333333333334</c:v>
                </c:pt>
                <c:pt idx="24">
                  <c:v>93.033333333333331</c:v>
                </c:pt>
                <c:pt idx="25">
                  <c:v>75.626666666666651</c:v>
                </c:pt>
                <c:pt idx="26">
                  <c:v>57.553333333333327</c:v>
                </c:pt>
                <c:pt idx="27">
                  <c:v>50.01666666666668</c:v>
                </c:pt>
                <c:pt idx="28">
                  <c:v>72.896666666666675</c:v>
                </c:pt>
                <c:pt idx="29">
                  <c:v>71.13666666666667</c:v>
                </c:pt>
                <c:pt idx="30">
                  <c:v>53.693333333333321</c:v>
                </c:pt>
                <c:pt idx="31">
                  <c:v>45.396666666666675</c:v>
                </c:pt>
                <c:pt idx="32">
                  <c:v>94.430000000000021</c:v>
                </c:pt>
                <c:pt idx="33">
                  <c:v>76.553333333333313</c:v>
                </c:pt>
                <c:pt idx="34">
                  <c:v>60.353333333333339</c:v>
                </c:pt>
                <c:pt idx="35">
                  <c:v>52.963333333333338</c:v>
                </c:pt>
                <c:pt idx="36">
                  <c:v>71.216666666666669</c:v>
                </c:pt>
                <c:pt idx="37">
                  <c:v>83.296666666666653</c:v>
                </c:pt>
                <c:pt idx="38">
                  <c:v>69.209999999999994</c:v>
                </c:pt>
                <c:pt idx="39">
                  <c:v>56.523333333333348</c:v>
                </c:pt>
              </c:numCache>
            </c:numRef>
          </c:xVal>
          <c:yVal>
            <c:numRef>
              <c:f>Summary!$G$2:$G$41</c:f>
              <c:numCache>
                <c:formatCode>General</c:formatCode>
                <c:ptCount val="40"/>
                <c:pt idx="0">
                  <c:v>34.422047092494111</c:v>
                </c:pt>
                <c:pt idx="1">
                  <c:v>44.380407938799557</c:v>
                </c:pt>
                <c:pt idx="2">
                  <c:v>53.011812806293776</c:v>
                </c:pt>
                <c:pt idx="3">
                  <c:v>58.763068818641095</c:v>
                </c:pt>
                <c:pt idx="4">
                  <c:v>35.845603248634653</c:v>
                </c:pt>
                <c:pt idx="5">
                  <c:v>53.718973902174106</c:v>
                </c:pt>
                <c:pt idx="6">
                  <c:v>62.920791207824365</c:v>
                </c:pt>
                <c:pt idx="7">
                  <c:v>69.584270253069434</c:v>
                </c:pt>
                <c:pt idx="8">
                  <c:v>16.564961105475952</c:v>
                </c:pt>
                <c:pt idx="9">
                  <c:v>23.449563868642585</c:v>
                </c:pt>
                <c:pt idx="10">
                  <c:v>28.925700762237799</c:v>
                </c:pt>
                <c:pt idx="11">
                  <c:v>33.988063973439488</c:v>
                </c:pt>
                <c:pt idx="12">
                  <c:v>16.07769479210636</c:v>
                </c:pt>
                <c:pt idx="13">
                  <c:v>27.487711235650075</c:v>
                </c:pt>
                <c:pt idx="14">
                  <c:v>36.559449824587794</c:v>
                </c:pt>
                <c:pt idx="15">
                  <c:v>44.790094100717958</c:v>
                </c:pt>
                <c:pt idx="16">
                  <c:v>8.9677150848058922</c:v>
                </c:pt>
                <c:pt idx="17">
                  <c:v>12.970370733091338</c:v>
                </c:pt>
                <c:pt idx="18">
                  <c:v>16.77363219115416</c:v>
                </c:pt>
                <c:pt idx="19">
                  <c:v>20.179286719325656</c:v>
                </c:pt>
                <c:pt idx="20">
                  <c:v>8.2375048984060708</c:v>
                </c:pt>
                <c:pt idx="21">
                  <c:v>14.39751046931392</c:v>
                </c:pt>
                <c:pt idx="22">
                  <c:v>20.199130444232853</c:v>
                </c:pt>
                <c:pt idx="23">
                  <c:v>25.774838867671313</c:v>
                </c:pt>
                <c:pt idx="24">
                  <c:v>4.7144145222527323</c:v>
                </c:pt>
                <c:pt idx="25">
                  <c:v>6.890317829606893</c:v>
                </c:pt>
                <c:pt idx="26">
                  <c:v>9.0028751018558193</c:v>
                </c:pt>
                <c:pt idx="27">
                  <c:v>11.029155755223014</c:v>
                </c:pt>
                <c:pt idx="28">
                  <c:v>4.2286392429143325</c:v>
                </c:pt>
                <c:pt idx="29">
                  <c:v>7.3227825971296703</c:v>
                </c:pt>
                <c:pt idx="30">
                  <c:v>10.317114875402581</c:v>
                </c:pt>
                <c:pt idx="31">
                  <c:v>13.298196581200502</c:v>
                </c:pt>
                <c:pt idx="32">
                  <c:v>2.442894430436247</c:v>
                </c:pt>
                <c:pt idx="33">
                  <c:v>3.5852477744306102</c:v>
                </c:pt>
                <c:pt idx="34">
                  <c:v>4.6992711051298457</c:v>
                </c:pt>
                <c:pt idx="35">
                  <c:v>5.8133077658150007</c:v>
                </c:pt>
                <c:pt idx="36">
                  <c:v>2.1564698525335757</c:v>
                </c:pt>
                <c:pt idx="37">
                  <c:v>3.705128813586414</c:v>
                </c:pt>
                <c:pt idx="38">
                  <c:v>5.2038310339601299</c:v>
                </c:pt>
                <c:pt idx="39">
                  <c:v>6.702533254333841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9-4B79-8E26-4B6BF34B5FC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852021440"/>
        <c:axId val="1852027200"/>
      </c:scatterChart>
      <c:valAx>
        <c:axId val="185202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accuracy_avg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52027200"/>
        <c:crosses val="autoZero"/>
        <c:crossBetween val="midCat"/>
      </c:valAx>
      <c:valAx>
        <c:axId val="185202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multiplicity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5202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</xdr:row>
      <xdr:rowOff>105727</xdr:rowOff>
    </xdr:from>
    <xdr:to>
      <xdr:col>16</xdr:col>
      <xdr:colOff>590550</xdr:colOff>
      <xdr:row>17</xdr:row>
      <xdr:rowOff>141922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A254DDA-2962-45FE-60F6-CB43FF74B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314325</xdr:colOff>
      <xdr:row>19</xdr:row>
      <xdr:rowOff>952</xdr:rowOff>
    </xdr:from>
    <xdr:to>
      <xdr:col>17</xdr:col>
      <xdr:colOff>9525</xdr:colOff>
      <xdr:row>34</xdr:row>
      <xdr:rowOff>37147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8420EC4F-AD6E-8845-562E-3C85563DF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409575</xdr:colOff>
      <xdr:row>36</xdr:row>
      <xdr:rowOff>10477</xdr:rowOff>
    </xdr:from>
    <xdr:to>
      <xdr:col>17</xdr:col>
      <xdr:colOff>104775</xdr:colOff>
      <xdr:row>51</xdr:row>
      <xdr:rowOff>46672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843C8FFC-C58F-3913-8B9C-B75762D6C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457200</xdr:colOff>
      <xdr:row>53</xdr:row>
      <xdr:rowOff>20002</xdr:rowOff>
    </xdr:from>
    <xdr:to>
      <xdr:col>17</xdr:col>
      <xdr:colOff>152400</xdr:colOff>
      <xdr:row>68</xdr:row>
      <xdr:rowOff>56197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4A8F9A78-B056-2589-2613-E1FC5A706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342900</xdr:colOff>
      <xdr:row>3</xdr:row>
      <xdr:rowOff>952</xdr:rowOff>
    </xdr:from>
    <xdr:to>
      <xdr:col>25</xdr:col>
      <xdr:colOff>38100</xdr:colOff>
      <xdr:row>18</xdr:row>
      <xdr:rowOff>37147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D7671C0A-705D-FD5D-B386-7085C050D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419100</xdr:colOff>
      <xdr:row>19</xdr:row>
      <xdr:rowOff>162877</xdr:rowOff>
    </xdr:from>
    <xdr:to>
      <xdr:col>25</xdr:col>
      <xdr:colOff>114300</xdr:colOff>
      <xdr:row>35</xdr:row>
      <xdr:rowOff>18097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24B2D0C0-3D89-8299-570A-6DF601C9E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466725</xdr:colOff>
      <xdr:row>36</xdr:row>
      <xdr:rowOff>105727</xdr:rowOff>
    </xdr:from>
    <xdr:to>
      <xdr:col>25</xdr:col>
      <xdr:colOff>161925</xdr:colOff>
      <xdr:row>51</xdr:row>
      <xdr:rowOff>141922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1B2571BF-39B3-FF01-B96D-D695B8AA7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28575</xdr:colOff>
      <xdr:row>53</xdr:row>
      <xdr:rowOff>48577</xdr:rowOff>
    </xdr:from>
    <xdr:to>
      <xdr:col>25</xdr:col>
      <xdr:colOff>333375</xdr:colOff>
      <xdr:row>68</xdr:row>
      <xdr:rowOff>84772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87C555C0-037C-967D-7792-3114180CD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495300</xdr:colOff>
      <xdr:row>2</xdr:row>
      <xdr:rowOff>115252</xdr:rowOff>
    </xdr:from>
    <xdr:to>
      <xdr:col>33</xdr:col>
      <xdr:colOff>190500</xdr:colOff>
      <xdr:row>17</xdr:row>
      <xdr:rowOff>151447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5FBBF50E-40C2-D27F-26D2-F4C2FDD46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504825</xdr:colOff>
      <xdr:row>20</xdr:row>
      <xdr:rowOff>69532</xdr:rowOff>
    </xdr:from>
    <xdr:to>
      <xdr:col>33</xdr:col>
      <xdr:colOff>200025</xdr:colOff>
      <xdr:row>35</xdr:row>
      <xdr:rowOff>105727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E149C74E-E0EF-A6EE-B50C-D21C2B70B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0</xdr:colOff>
      <xdr:row>37</xdr:row>
      <xdr:rowOff>58102</xdr:rowOff>
    </xdr:from>
    <xdr:to>
      <xdr:col>33</xdr:col>
      <xdr:colOff>304800</xdr:colOff>
      <xdr:row>52</xdr:row>
      <xdr:rowOff>94297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ACEBF372-0EA3-9BAD-52C8-1EDEE7996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5642-0535-4716-A0DB-92B5777742C9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129</v>
      </c>
      <c r="B1" t="s">
        <v>128</v>
      </c>
      <c r="C1" t="s">
        <v>127</v>
      </c>
      <c r="D1" t="s">
        <v>126</v>
      </c>
      <c r="E1" t="s">
        <v>125</v>
      </c>
      <c r="F1" t="s">
        <v>124</v>
      </c>
      <c r="G1" t="s">
        <v>123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1206</v>
      </c>
      <c r="B2" t="s">
        <v>1</v>
      </c>
      <c r="C2">
        <v>2</v>
      </c>
      <c r="D2">
        <v>36</v>
      </c>
      <c r="E2">
        <v>102</v>
      </c>
      <c r="F2">
        <v>77.5</v>
      </c>
      <c r="G2" t="s">
        <v>0</v>
      </c>
      <c r="H2">
        <f>D2/E2</f>
        <v>0.35294117647058826</v>
      </c>
      <c r="J2" t="s">
        <v>1217</v>
      </c>
      <c r="K2">
        <f>AVERAGE(F2:F31)</f>
        <v>42.966666666666669</v>
      </c>
      <c r="L2">
        <f>MIN(F2:F31)</f>
        <v>4</v>
      </c>
      <c r="M2">
        <f>MAX(F2:F31)</f>
        <v>84.5</v>
      </c>
      <c r="N2">
        <f>AVERAGE(H2:H31)</f>
        <v>0.34422047092494112</v>
      </c>
    </row>
    <row r="3" spans="1:14" x14ac:dyDescent="0.3">
      <c r="A3" t="s">
        <v>1166</v>
      </c>
      <c r="B3" t="s">
        <v>1</v>
      </c>
      <c r="C3">
        <v>2</v>
      </c>
      <c r="D3">
        <v>37</v>
      </c>
      <c r="E3">
        <v>102</v>
      </c>
      <c r="F3">
        <v>19.600000000000001</v>
      </c>
      <c r="G3" t="s">
        <v>0</v>
      </c>
      <c r="H3">
        <f t="shared" ref="H3:H66" si="0">D3/E3</f>
        <v>0.36274509803921567</v>
      </c>
      <c r="J3" t="s">
        <v>1218</v>
      </c>
      <c r="K3">
        <f>AVERAGE(F32:F61)</f>
        <v>23.85</v>
      </c>
      <c r="L3">
        <f>MIN(F32:F61)</f>
        <v>5</v>
      </c>
      <c r="M3">
        <f>MAX(F32:F61)</f>
        <v>58</v>
      </c>
      <c r="N3">
        <f>AVERAGE(H32:H61)</f>
        <v>0.4438040793879956</v>
      </c>
    </row>
    <row r="4" spans="1:14" x14ac:dyDescent="0.3">
      <c r="A4" t="s">
        <v>1126</v>
      </c>
      <c r="B4" t="s">
        <v>1</v>
      </c>
      <c r="C4">
        <v>2</v>
      </c>
      <c r="D4">
        <v>35</v>
      </c>
      <c r="E4">
        <v>100</v>
      </c>
      <c r="F4">
        <v>36</v>
      </c>
      <c r="G4" t="s">
        <v>0</v>
      </c>
      <c r="H4">
        <f t="shared" si="0"/>
        <v>0.35</v>
      </c>
      <c r="J4" t="s">
        <v>1219</v>
      </c>
      <c r="K4">
        <f>AVERAGE(F62:F91)</f>
        <v>14.889999999999999</v>
      </c>
      <c r="L4">
        <f>MIN(F62:F91)</f>
        <v>0</v>
      </c>
      <c r="M4">
        <f>MAX(F62:F91)</f>
        <v>40.799999999999997</v>
      </c>
      <c r="N4">
        <f>AVERAGE(H62:H91)</f>
        <v>0.53011812806293779</v>
      </c>
    </row>
    <row r="5" spans="1:14" x14ac:dyDescent="0.3">
      <c r="A5" t="s">
        <v>1210</v>
      </c>
      <c r="B5" t="s">
        <v>1</v>
      </c>
      <c r="C5">
        <v>2</v>
      </c>
      <c r="D5">
        <v>36</v>
      </c>
      <c r="E5">
        <v>102</v>
      </c>
      <c r="F5">
        <v>38.200000000000003</v>
      </c>
      <c r="G5" t="s">
        <v>0</v>
      </c>
      <c r="H5">
        <f t="shared" si="0"/>
        <v>0.35294117647058826</v>
      </c>
      <c r="J5" t="s">
        <v>1220</v>
      </c>
      <c r="K5">
        <f>AVERAGE(F92:F121)</f>
        <v>16.740000000000002</v>
      </c>
      <c r="L5">
        <f>MIN(F92:F121)</f>
        <v>2.9</v>
      </c>
      <c r="M5">
        <f>MAX(F92:F121)</f>
        <v>34.9</v>
      </c>
      <c r="N5">
        <f>AVERAGE(H92:H121)</f>
        <v>0.58763068818641095</v>
      </c>
    </row>
    <row r="6" spans="1:14" x14ac:dyDescent="0.3">
      <c r="A6" t="s">
        <v>1170</v>
      </c>
      <c r="B6" t="s">
        <v>1</v>
      </c>
      <c r="C6">
        <v>2</v>
      </c>
      <c r="D6">
        <v>34</v>
      </c>
      <c r="E6">
        <v>101</v>
      </c>
      <c r="F6">
        <v>4</v>
      </c>
      <c r="G6" t="s">
        <v>0</v>
      </c>
      <c r="H6">
        <f t="shared" si="0"/>
        <v>0.33663366336633666</v>
      </c>
    </row>
    <row r="7" spans="1:14" x14ac:dyDescent="0.3">
      <c r="A7" t="s">
        <v>1130</v>
      </c>
      <c r="B7" t="s">
        <v>1</v>
      </c>
      <c r="C7">
        <v>2</v>
      </c>
      <c r="D7">
        <v>33</v>
      </c>
      <c r="E7">
        <v>103</v>
      </c>
      <c r="F7">
        <v>84.5</v>
      </c>
      <c r="G7" t="s">
        <v>9</v>
      </c>
      <c r="H7">
        <f t="shared" si="0"/>
        <v>0.32038834951456313</v>
      </c>
    </row>
    <row r="8" spans="1:14" x14ac:dyDescent="0.3">
      <c r="A8" t="s">
        <v>1202</v>
      </c>
      <c r="B8" t="s">
        <v>1</v>
      </c>
      <c r="C8">
        <v>2</v>
      </c>
      <c r="D8">
        <v>37</v>
      </c>
      <c r="E8">
        <v>100</v>
      </c>
      <c r="F8">
        <v>54</v>
      </c>
      <c r="G8" t="s">
        <v>0</v>
      </c>
      <c r="H8">
        <f t="shared" si="0"/>
        <v>0.37</v>
      </c>
    </row>
    <row r="9" spans="1:14" x14ac:dyDescent="0.3">
      <c r="A9" t="s">
        <v>1162</v>
      </c>
      <c r="B9" t="s">
        <v>1</v>
      </c>
      <c r="C9">
        <v>2</v>
      </c>
      <c r="D9">
        <v>38</v>
      </c>
      <c r="E9">
        <v>101</v>
      </c>
      <c r="F9">
        <v>38.6</v>
      </c>
      <c r="G9" t="s">
        <v>0</v>
      </c>
      <c r="H9">
        <f t="shared" si="0"/>
        <v>0.37623762376237624</v>
      </c>
    </row>
    <row r="10" spans="1:14" x14ac:dyDescent="0.3">
      <c r="A10" t="s">
        <v>1122</v>
      </c>
      <c r="B10" t="s">
        <v>1</v>
      </c>
      <c r="C10">
        <v>2</v>
      </c>
      <c r="D10">
        <v>36</v>
      </c>
      <c r="E10">
        <v>100</v>
      </c>
      <c r="F10">
        <v>38</v>
      </c>
      <c r="G10" t="s">
        <v>0</v>
      </c>
      <c r="H10">
        <f t="shared" si="0"/>
        <v>0.36</v>
      </c>
    </row>
    <row r="11" spans="1:14" x14ac:dyDescent="0.3">
      <c r="A11" t="s">
        <v>1198</v>
      </c>
      <c r="B11" t="s">
        <v>1</v>
      </c>
      <c r="C11">
        <v>2</v>
      </c>
      <c r="D11">
        <v>36</v>
      </c>
      <c r="E11">
        <v>101</v>
      </c>
      <c r="F11">
        <v>27.7</v>
      </c>
      <c r="G11" t="s">
        <v>0</v>
      </c>
      <c r="H11">
        <f t="shared" si="0"/>
        <v>0.35643564356435642</v>
      </c>
    </row>
    <row r="12" spans="1:14" x14ac:dyDescent="0.3">
      <c r="A12" t="s">
        <v>1158</v>
      </c>
      <c r="B12" t="s">
        <v>1</v>
      </c>
      <c r="C12">
        <v>2</v>
      </c>
      <c r="D12">
        <v>36</v>
      </c>
      <c r="E12">
        <v>102</v>
      </c>
      <c r="F12">
        <v>25.5</v>
      </c>
      <c r="G12" t="s">
        <v>0</v>
      </c>
      <c r="H12">
        <f t="shared" si="0"/>
        <v>0.35294117647058826</v>
      </c>
    </row>
    <row r="13" spans="1:14" x14ac:dyDescent="0.3">
      <c r="A13" t="s">
        <v>1118</v>
      </c>
      <c r="B13" t="s">
        <v>1</v>
      </c>
      <c r="C13">
        <v>2</v>
      </c>
      <c r="D13">
        <v>33</v>
      </c>
      <c r="E13">
        <v>100</v>
      </c>
      <c r="F13">
        <v>44</v>
      </c>
      <c r="G13" t="s">
        <v>0</v>
      </c>
      <c r="H13">
        <f t="shared" si="0"/>
        <v>0.33</v>
      </c>
    </row>
    <row r="14" spans="1:14" x14ac:dyDescent="0.3">
      <c r="A14" t="s">
        <v>1194</v>
      </c>
      <c r="B14" t="s">
        <v>1</v>
      </c>
      <c r="C14">
        <v>2</v>
      </c>
      <c r="D14">
        <v>37</v>
      </c>
      <c r="E14">
        <v>104</v>
      </c>
      <c r="F14">
        <v>19.2</v>
      </c>
      <c r="G14" t="s">
        <v>0</v>
      </c>
      <c r="H14">
        <f t="shared" si="0"/>
        <v>0.35576923076923078</v>
      </c>
    </row>
    <row r="15" spans="1:14" x14ac:dyDescent="0.3">
      <c r="A15" t="s">
        <v>1154</v>
      </c>
      <c r="B15" t="s">
        <v>1</v>
      </c>
      <c r="C15">
        <v>2</v>
      </c>
      <c r="D15">
        <v>35</v>
      </c>
      <c r="E15">
        <v>107</v>
      </c>
      <c r="F15">
        <v>57.9</v>
      </c>
      <c r="G15" t="s">
        <v>0</v>
      </c>
      <c r="H15">
        <f t="shared" si="0"/>
        <v>0.32710280373831774</v>
      </c>
    </row>
    <row r="16" spans="1:14" x14ac:dyDescent="0.3">
      <c r="A16" t="s">
        <v>1114</v>
      </c>
      <c r="B16" t="s">
        <v>1</v>
      </c>
      <c r="C16">
        <v>2</v>
      </c>
      <c r="D16">
        <v>36</v>
      </c>
      <c r="E16">
        <v>106</v>
      </c>
      <c r="F16">
        <v>34</v>
      </c>
      <c r="G16" t="s">
        <v>0</v>
      </c>
      <c r="H16">
        <f t="shared" si="0"/>
        <v>0.33962264150943394</v>
      </c>
    </row>
    <row r="17" spans="1:8" x14ac:dyDescent="0.3">
      <c r="A17" t="s">
        <v>1190</v>
      </c>
      <c r="B17" t="s">
        <v>1</v>
      </c>
      <c r="C17">
        <v>2</v>
      </c>
      <c r="D17">
        <v>34</v>
      </c>
      <c r="E17">
        <v>103</v>
      </c>
      <c r="F17">
        <v>51.5</v>
      </c>
      <c r="G17" t="s">
        <v>0</v>
      </c>
      <c r="H17">
        <f t="shared" si="0"/>
        <v>0.3300970873786408</v>
      </c>
    </row>
    <row r="18" spans="1:8" x14ac:dyDescent="0.3">
      <c r="A18" t="s">
        <v>1150</v>
      </c>
      <c r="B18" t="s">
        <v>1</v>
      </c>
      <c r="C18">
        <v>2</v>
      </c>
      <c r="D18">
        <v>34</v>
      </c>
      <c r="E18">
        <v>100</v>
      </c>
      <c r="F18">
        <v>67</v>
      </c>
      <c r="G18" t="s">
        <v>0</v>
      </c>
      <c r="H18">
        <f t="shared" si="0"/>
        <v>0.34</v>
      </c>
    </row>
    <row r="19" spans="1:8" x14ac:dyDescent="0.3">
      <c r="A19" t="s">
        <v>1110</v>
      </c>
      <c r="B19" t="s">
        <v>1</v>
      </c>
      <c r="C19">
        <v>2</v>
      </c>
      <c r="D19">
        <v>36</v>
      </c>
      <c r="E19">
        <v>100</v>
      </c>
      <c r="F19">
        <v>13</v>
      </c>
      <c r="G19" t="s">
        <v>0</v>
      </c>
      <c r="H19">
        <f t="shared" si="0"/>
        <v>0.36</v>
      </c>
    </row>
    <row r="20" spans="1:8" x14ac:dyDescent="0.3">
      <c r="A20" t="s">
        <v>1186</v>
      </c>
      <c r="B20" t="s">
        <v>1</v>
      </c>
      <c r="C20">
        <v>2</v>
      </c>
      <c r="D20">
        <v>36</v>
      </c>
      <c r="E20">
        <v>102</v>
      </c>
      <c r="F20">
        <v>33.299999999999997</v>
      </c>
      <c r="G20" t="s">
        <v>0</v>
      </c>
      <c r="H20">
        <f t="shared" si="0"/>
        <v>0.35294117647058826</v>
      </c>
    </row>
    <row r="21" spans="1:8" x14ac:dyDescent="0.3">
      <c r="A21" t="s">
        <v>1146</v>
      </c>
      <c r="B21" t="s">
        <v>1</v>
      </c>
      <c r="C21">
        <v>2</v>
      </c>
      <c r="D21">
        <v>34</v>
      </c>
      <c r="E21">
        <v>103</v>
      </c>
      <c r="F21">
        <v>32</v>
      </c>
      <c r="G21" t="s">
        <v>0</v>
      </c>
      <c r="H21">
        <f t="shared" si="0"/>
        <v>0.3300970873786408</v>
      </c>
    </row>
    <row r="22" spans="1:8" x14ac:dyDescent="0.3">
      <c r="A22" t="s">
        <v>1106</v>
      </c>
      <c r="B22" t="s">
        <v>1</v>
      </c>
      <c r="C22">
        <v>2</v>
      </c>
      <c r="D22">
        <v>34</v>
      </c>
      <c r="E22">
        <v>100</v>
      </c>
      <c r="F22">
        <v>6</v>
      </c>
      <c r="G22" t="s">
        <v>0</v>
      </c>
      <c r="H22">
        <f t="shared" si="0"/>
        <v>0.34</v>
      </c>
    </row>
    <row r="23" spans="1:8" x14ac:dyDescent="0.3">
      <c r="A23" t="s">
        <v>1182</v>
      </c>
      <c r="B23" t="s">
        <v>1</v>
      </c>
      <c r="C23">
        <v>2</v>
      </c>
      <c r="D23">
        <v>36</v>
      </c>
      <c r="E23">
        <v>100</v>
      </c>
      <c r="F23">
        <v>40</v>
      </c>
      <c r="G23" t="s">
        <v>0</v>
      </c>
      <c r="H23">
        <f t="shared" si="0"/>
        <v>0.36</v>
      </c>
    </row>
    <row r="24" spans="1:8" x14ac:dyDescent="0.3">
      <c r="A24" t="s">
        <v>1142</v>
      </c>
      <c r="B24" t="s">
        <v>1</v>
      </c>
      <c r="C24">
        <v>2</v>
      </c>
      <c r="D24">
        <v>36</v>
      </c>
      <c r="E24">
        <v>104</v>
      </c>
      <c r="F24">
        <v>59.6</v>
      </c>
      <c r="G24" t="s">
        <v>0</v>
      </c>
      <c r="H24">
        <f t="shared" si="0"/>
        <v>0.34615384615384615</v>
      </c>
    </row>
    <row r="25" spans="1:8" x14ac:dyDescent="0.3">
      <c r="A25" t="s">
        <v>1102</v>
      </c>
      <c r="B25" t="s">
        <v>1</v>
      </c>
      <c r="C25">
        <v>2</v>
      </c>
      <c r="D25">
        <v>36</v>
      </c>
      <c r="E25">
        <v>102</v>
      </c>
      <c r="F25">
        <v>71.599999999999994</v>
      </c>
      <c r="G25" t="s">
        <v>0</v>
      </c>
      <c r="H25">
        <f t="shared" si="0"/>
        <v>0.35294117647058826</v>
      </c>
    </row>
    <row r="26" spans="1:8" x14ac:dyDescent="0.3">
      <c r="A26" t="s">
        <v>1178</v>
      </c>
      <c r="B26" t="s">
        <v>1</v>
      </c>
      <c r="C26">
        <v>2</v>
      </c>
      <c r="D26">
        <v>37</v>
      </c>
      <c r="E26">
        <v>105</v>
      </c>
      <c r="F26">
        <v>54.3</v>
      </c>
      <c r="G26" t="s">
        <v>0</v>
      </c>
      <c r="H26">
        <f t="shared" si="0"/>
        <v>0.35238095238095241</v>
      </c>
    </row>
    <row r="27" spans="1:8" x14ac:dyDescent="0.3">
      <c r="A27" t="s">
        <v>1138</v>
      </c>
      <c r="B27" t="s">
        <v>1</v>
      </c>
      <c r="C27">
        <v>2</v>
      </c>
      <c r="D27">
        <v>32</v>
      </c>
      <c r="E27">
        <v>106</v>
      </c>
      <c r="F27">
        <v>75.5</v>
      </c>
      <c r="G27" t="s">
        <v>0</v>
      </c>
      <c r="H27">
        <f t="shared" si="0"/>
        <v>0.30188679245283018</v>
      </c>
    </row>
    <row r="28" spans="1:8" x14ac:dyDescent="0.3">
      <c r="A28" t="s">
        <v>1098</v>
      </c>
      <c r="B28" t="s">
        <v>1</v>
      </c>
      <c r="C28">
        <v>2</v>
      </c>
      <c r="D28">
        <v>31</v>
      </c>
      <c r="E28">
        <v>108</v>
      </c>
      <c r="F28">
        <v>83.3</v>
      </c>
      <c r="G28" t="s">
        <v>9</v>
      </c>
      <c r="H28">
        <f t="shared" si="0"/>
        <v>0.28703703703703703</v>
      </c>
    </row>
    <row r="29" spans="1:8" x14ac:dyDescent="0.3">
      <c r="A29" t="s">
        <v>1174</v>
      </c>
      <c r="B29" t="s">
        <v>1</v>
      </c>
      <c r="C29">
        <v>2</v>
      </c>
      <c r="D29">
        <v>39</v>
      </c>
      <c r="E29">
        <v>103</v>
      </c>
      <c r="F29">
        <v>7.8</v>
      </c>
      <c r="G29" t="s">
        <v>0</v>
      </c>
      <c r="H29">
        <f t="shared" si="0"/>
        <v>0.37864077669902912</v>
      </c>
    </row>
    <row r="30" spans="1:8" x14ac:dyDescent="0.3">
      <c r="A30" t="s">
        <v>1134</v>
      </c>
      <c r="B30" t="s">
        <v>1</v>
      </c>
      <c r="C30">
        <v>2</v>
      </c>
      <c r="D30">
        <v>32</v>
      </c>
      <c r="E30">
        <v>103</v>
      </c>
      <c r="F30">
        <v>52.4</v>
      </c>
      <c r="G30" t="s">
        <v>0</v>
      </c>
      <c r="H30">
        <f t="shared" si="0"/>
        <v>0.31067961165048541</v>
      </c>
    </row>
    <row r="31" spans="1:8" x14ac:dyDescent="0.3">
      <c r="A31" t="s">
        <v>1094</v>
      </c>
      <c r="B31" t="s">
        <v>1</v>
      </c>
      <c r="C31">
        <v>2</v>
      </c>
      <c r="D31">
        <v>34</v>
      </c>
      <c r="E31">
        <v>100</v>
      </c>
      <c r="F31">
        <v>43</v>
      </c>
      <c r="G31" t="s">
        <v>0</v>
      </c>
      <c r="H31">
        <f t="shared" si="0"/>
        <v>0.34</v>
      </c>
    </row>
    <row r="32" spans="1:8" x14ac:dyDescent="0.3">
      <c r="A32" t="s">
        <v>1205</v>
      </c>
      <c r="B32" t="s">
        <v>1</v>
      </c>
      <c r="C32">
        <v>3</v>
      </c>
      <c r="D32">
        <v>48</v>
      </c>
      <c r="E32">
        <v>102</v>
      </c>
      <c r="F32">
        <v>24.5</v>
      </c>
      <c r="G32" t="s">
        <v>0</v>
      </c>
      <c r="H32">
        <f t="shared" si="0"/>
        <v>0.47058823529411764</v>
      </c>
    </row>
    <row r="33" spans="1:8" x14ac:dyDescent="0.3">
      <c r="A33" t="s">
        <v>1165</v>
      </c>
      <c r="B33" t="s">
        <v>1</v>
      </c>
      <c r="C33">
        <v>3</v>
      </c>
      <c r="D33">
        <v>47</v>
      </c>
      <c r="E33">
        <v>102</v>
      </c>
      <c r="F33">
        <v>18.600000000000001</v>
      </c>
      <c r="G33" t="s">
        <v>0</v>
      </c>
      <c r="H33">
        <f t="shared" si="0"/>
        <v>0.46078431372549017</v>
      </c>
    </row>
    <row r="34" spans="1:8" x14ac:dyDescent="0.3">
      <c r="A34" t="s">
        <v>1125</v>
      </c>
      <c r="B34" t="s">
        <v>1</v>
      </c>
      <c r="C34">
        <v>3</v>
      </c>
      <c r="D34">
        <v>45</v>
      </c>
      <c r="E34">
        <v>100</v>
      </c>
      <c r="F34">
        <v>54</v>
      </c>
      <c r="G34" t="s">
        <v>0</v>
      </c>
      <c r="H34">
        <f t="shared" si="0"/>
        <v>0.45</v>
      </c>
    </row>
    <row r="35" spans="1:8" x14ac:dyDescent="0.3">
      <c r="A35" t="s">
        <v>1209</v>
      </c>
      <c r="B35" t="s">
        <v>1</v>
      </c>
      <c r="C35">
        <v>3</v>
      </c>
      <c r="D35">
        <v>47</v>
      </c>
      <c r="E35">
        <v>102</v>
      </c>
      <c r="F35">
        <v>34.299999999999997</v>
      </c>
      <c r="G35" t="s">
        <v>0</v>
      </c>
      <c r="H35">
        <f t="shared" si="0"/>
        <v>0.46078431372549017</v>
      </c>
    </row>
    <row r="36" spans="1:8" x14ac:dyDescent="0.3">
      <c r="A36" t="s">
        <v>1169</v>
      </c>
      <c r="B36" t="s">
        <v>1</v>
      </c>
      <c r="C36">
        <v>3</v>
      </c>
      <c r="D36">
        <v>46</v>
      </c>
      <c r="E36">
        <v>101</v>
      </c>
      <c r="F36">
        <v>9.9</v>
      </c>
      <c r="G36" t="s">
        <v>0</v>
      </c>
      <c r="H36">
        <f t="shared" si="0"/>
        <v>0.45544554455445546</v>
      </c>
    </row>
    <row r="37" spans="1:8" x14ac:dyDescent="0.3">
      <c r="A37" t="s">
        <v>1129</v>
      </c>
      <c r="B37" t="s">
        <v>1</v>
      </c>
      <c r="C37">
        <v>3</v>
      </c>
      <c r="D37">
        <v>46</v>
      </c>
      <c r="E37">
        <v>103</v>
      </c>
      <c r="F37">
        <v>14.6</v>
      </c>
      <c r="G37" t="s">
        <v>0</v>
      </c>
      <c r="H37">
        <f t="shared" si="0"/>
        <v>0.44660194174757284</v>
      </c>
    </row>
    <row r="38" spans="1:8" x14ac:dyDescent="0.3">
      <c r="A38" t="s">
        <v>1201</v>
      </c>
      <c r="B38" t="s">
        <v>1</v>
      </c>
      <c r="C38">
        <v>3</v>
      </c>
      <c r="D38">
        <v>43</v>
      </c>
      <c r="E38">
        <v>100</v>
      </c>
      <c r="F38">
        <v>9</v>
      </c>
      <c r="G38" t="s">
        <v>0</v>
      </c>
      <c r="H38">
        <f t="shared" si="0"/>
        <v>0.43</v>
      </c>
    </row>
    <row r="39" spans="1:8" x14ac:dyDescent="0.3">
      <c r="A39" t="s">
        <v>1161</v>
      </c>
      <c r="B39" t="s">
        <v>1</v>
      </c>
      <c r="C39">
        <v>3</v>
      </c>
      <c r="D39">
        <v>49</v>
      </c>
      <c r="E39">
        <v>101</v>
      </c>
      <c r="F39">
        <v>16.8</v>
      </c>
      <c r="G39" t="s">
        <v>0</v>
      </c>
      <c r="H39">
        <f t="shared" si="0"/>
        <v>0.48514851485148514</v>
      </c>
    </row>
    <row r="40" spans="1:8" x14ac:dyDescent="0.3">
      <c r="A40" t="s">
        <v>1121</v>
      </c>
      <c r="B40" t="s">
        <v>1</v>
      </c>
      <c r="C40">
        <v>3</v>
      </c>
      <c r="D40">
        <v>44</v>
      </c>
      <c r="E40">
        <v>100</v>
      </c>
      <c r="F40">
        <v>5</v>
      </c>
      <c r="G40" t="s">
        <v>0</v>
      </c>
      <c r="H40">
        <f t="shared" si="0"/>
        <v>0.44</v>
      </c>
    </row>
    <row r="41" spans="1:8" x14ac:dyDescent="0.3">
      <c r="A41" t="s">
        <v>1197</v>
      </c>
      <c r="B41" t="s">
        <v>1</v>
      </c>
      <c r="C41">
        <v>3</v>
      </c>
      <c r="D41">
        <v>46</v>
      </c>
      <c r="E41">
        <v>101</v>
      </c>
      <c r="F41">
        <v>10.9</v>
      </c>
      <c r="G41" t="s">
        <v>0</v>
      </c>
      <c r="H41">
        <f t="shared" si="0"/>
        <v>0.45544554455445546</v>
      </c>
    </row>
    <row r="42" spans="1:8" x14ac:dyDescent="0.3">
      <c r="A42" t="s">
        <v>1157</v>
      </c>
      <c r="B42" t="s">
        <v>1</v>
      </c>
      <c r="C42">
        <v>3</v>
      </c>
      <c r="D42">
        <v>43</v>
      </c>
      <c r="E42">
        <v>102</v>
      </c>
      <c r="F42">
        <v>8.8000000000000007</v>
      </c>
      <c r="G42" t="s">
        <v>0</v>
      </c>
      <c r="H42">
        <f t="shared" si="0"/>
        <v>0.42156862745098039</v>
      </c>
    </row>
    <row r="43" spans="1:8" x14ac:dyDescent="0.3">
      <c r="A43" t="s">
        <v>1117</v>
      </c>
      <c r="B43" t="s">
        <v>1</v>
      </c>
      <c r="C43">
        <v>3</v>
      </c>
      <c r="D43">
        <v>41</v>
      </c>
      <c r="E43">
        <v>100</v>
      </c>
      <c r="F43">
        <v>58</v>
      </c>
      <c r="G43" t="s">
        <v>0</v>
      </c>
      <c r="H43">
        <f t="shared" si="0"/>
        <v>0.41</v>
      </c>
    </row>
    <row r="44" spans="1:8" x14ac:dyDescent="0.3">
      <c r="A44" t="s">
        <v>1193</v>
      </c>
      <c r="B44" t="s">
        <v>1</v>
      </c>
      <c r="C44">
        <v>3</v>
      </c>
      <c r="D44">
        <v>49</v>
      </c>
      <c r="E44">
        <v>104</v>
      </c>
      <c r="F44">
        <v>21.2</v>
      </c>
      <c r="G44" t="s">
        <v>0</v>
      </c>
      <c r="H44">
        <f t="shared" si="0"/>
        <v>0.47115384615384615</v>
      </c>
    </row>
    <row r="45" spans="1:8" x14ac:dyDescent="0.3">
      <c r="A45" t="s">
        <v>1153</v>
      </c>
      <c r="B45" t="s">
        <v>1</v>
      </c>
      <c r="C45">
        <v>3</v>
      </c>
      <c r="D45">
        <v>45</v>
      </c>
      <c r="E45">
        <v>107</v>
      </c>
      <c r="F45">
        <v>43</v>
      </c>
      <c r="G45" t="s">
        <v>0</v>
      </c>
      <c r="H45">
        <f t="shared" si="0"/>
        <v>0.42056074766355139</v>
      </c>
    </row>
    <row r="46" spans="1:8" x14ac:dyDescent="0.3">
      <c r="A46" t="s">
        <v>1113</v>
      </c>
      <c r="B46" t="s">
        <v>1</v>
      </c>
      <c r="C46">
        <v>3</v>
      </c>
      <c r="D46">
        <v>44</v>
      </c>
      <c r="E46">
        <v>106</v>
      </c>
      <c r="F46">
        <v>13.2</v>
      </c>
      <c r="G46" t="s">
        <v>0</v>
      </c>
      <c r="H46">
        <f t="shared" si="0"/>
        <v>0.41509433962264153</v>
      </c>
    </row>
    <row r="47" spans="1:8" x14ac:dyDescent="0.3">
      <c r="A47" t="s">
        <v>1189</v>
      </c>
      <c r="B47" t="s">
        <v>1</v>
      </c>
      <c r="C47">
        <v>3</v>
      </c>
      <c r="D47">
        <v>47</v>
      </c>
      <c r="E47">
        <v>103</v>
      </c>
      <c r="F47">
        <v>26.2</v>
      </c>
      <c r="G47" t="s">
        <v>0</v>
      </c>
      <c r="H47">
        <f t="shared" si="0"/>
        <v>0.4563106796116505</v>
      </c>
    </row>
    <row r="48" spans="1:8" x14ac:dyDescent="0.3">
      <c r="A48" t="s">
        <v>1149</v>
      </c>
      <c r="B48" t="s">
        <v>1</v>
      </c>
      <c r="C48">
        <v>3</v>
      </c>
      <c r="D48">
        <v>44</v>
      </c>
      <c r="E48">
        <v>100</v>
      </c>
      <c r="F48">
        <v>45</v>
      </c>
      <c r="G48" t="s">
        <v>0</v>
      </c>
      <c r="H48">
        <f t="shared" si="0"/>
        <v>0.44</v>
      </c>
    </row>
    <row r="49" spans="1:8" x14ac:dyDescent="0.3">
      <c r="A49" t="s">
        <v>1109</v>
      </c>
      <c r="B49" t="s">
        <v>1</v>
      </c>
      <c r="C49">
        <v>3</v>
      </c>
      <c r="D49">
        <v>46</v>
      </c>
      <c r="E49">
        <v>100</v>
      </c>
      <c r="F49">
        <v>9</v>
      </c>
      <c r="G49" t="s">
        <v>0</v>
      </c>
      <c r="H49">
        <f t="shared" si="0"/>
        <v>0.46</v>
      </c>
    </row>
    <row r="50" spans="1:8" x14ac:dyDescent="0.3">
      <c r="A50" t="s">
        <v>1185</v>
      </c>
      <c r="B50" t="s">
        <v>1</v>
      </c>
      <c r="C50">
        <v>3</v>
      </c>
      <c r="D50">
        <v>43</v>
      </c>
      <c r="E50">
        <v>102</v>
      </c>
      <c r="F50">
        <v>20.6</v>
      </c>
      <c r="G50" t="s">
        <v>0</v>
      </c>
      <c r="H50">
        <f t="shared" si="0"/>
        <v>0.42156862745098039</v>
      </c>
    </row>
    <row r="51" spans="1:8" x14ac:dyDescent="0.3">
      <c r="A51" t="s">
        <v>1145</v>
      </c>
      <c r="B51" t="s">
        <v>1</v>
      </c>
      <c r="C51">
        <v>3</v>
      </c>
      <c r="D51">
        <v>46</v>
      </c>
      <c r="E51">
        <v>103</v>
      </c>
      <c r="F51">
        <v>19.399999999999999</v>
      </c>
      <c r="G51" t="s">
        <v>0</v>
      </c>
      <c r="H51">
        <f t="shared" si="0"/>
        <v>0.44660194174757284</v>
      </c>
    </row>
    <row r="52" spans="1:8" x14ac:dyDescent="0.3">
      <c r="A52" t="s">
        <v>1105</v>
      </c>
      <c r="B52" t="s">
        <v>1</v>
      </c>
      <c r="C52">
        <v>3</v>
      </c>
      <c r="D52">
        <v>44</v>
      </c>
      <c r="E52">
        <v>100</v>
      </c>
      <c r="F52">
        <v>27</v>
      </c>
      <c r="G52" t="s">
        <v>0</v>
      </c>
      <c r="H52">
        <f t="shared" si="0"/>
        <v>0.44</v>
      </c>
    </row>
    <row r="53" spans="1:8" x14ac:dyDescent="0.3">
      <c r="A53" t="s">
        <v>1181</v>
      </c>
      <c r="B53" t="s">
        <v>1</v>
      </c>
      <c r="C53">
        <v>3</v>
      </c>
      <c r="D53">
        <v>41</v>
      </c>
      <c r="E53">
        <v>100</v>
      </c>
      <c r="F53">
        <v>17</v>
      </c>
      <c r="G53" t="s">
        <v>0</v>
      </c>
      <c r="H53">
        <f t="shared" si="0"/>
        <v>0.41</v>
      </c>
    </row>
    <row r="54" spans="1:8" x14ac:dyDescent="0.3">
      <c r="A54" t="s">
        <v>1141</v>
      </c>
      <c r="B54" t="s">
        <v>1</v>
      </c>
      <c r="C54">
        <v>3</v>
      </c>
      <c r="D54">
        <v>47</v>
      </c>
      <c r="E54">
        <v>104</v>
      </c>
      <c r="F54">
        <v>31.7</v>
      </c>
      <c r="G54" t="s">
        <v>0</v>
      </c>
      <c r="H54">
        <f t="shared" si="0"/>
        <v>0.45192307692307693</v>
      </c>
    </row>
    <row r="55" spans="1:8" x14ac:dyDescent="0.3">
      <c r="A55" t="s">
        <v>1101</v>
      </c>
      <c r="B55" t="s">
        <v>1</v>
      </c>
      <c r="C55">
        <v>3</v>
      </c>
      <c r="D55">
        <v>48</v>
      </c>
      <c r="E55">
        <v>102</v>
      </c>
      <c r="F55">
        <v>9.8000000000000007</v>
      </c>
      <c r="G55" t="s">
        <v>0</v>
      </c>
      <c r="H55">
        <f t="shared" si="0"/>
        <v>0.47058823529411764</v>
      </c>
    </row>
    <row r="56" spans="1:8" x14ac:dyDescent="0.3">
      <c r="A56" t="s">
        <v>1177</v>
      </c>
      <c r="B56" t="s">
        <v>1</v>
      </c>
      <c r="C56">
        <v>3</v>
      </c>
      <c r="D56">
        <v>49</v>
      </c>
      <c r="E56">
        <v>105</v>
      </c>
      <c r="F56">
        <v>18.100000000000001</v>
      </c>
      <c r="G56" t="s">
        <v>0</v>
      </c>
      <c r="H56">
        <f t="shared" si="0"/>
        <v>0.46666666666666667</v>
      </c>
    </row>
    <row r="57" spans="1:8" x14ac:dyDescent="0.3">
      <c r="A57" t="s">
        <v>1137</v>
      </c>
      <c r="B57" t="s">
        <v>1</v>
      </c>
      <c r="C57">
        <v>3</v>
      </c>
      <c r="D57">
        <v>42</v>
      </c>
      <c r="E57">
        <v>106</v>
      </c>
      <c r="F57">
        <v>50.9</v>
      </c>
      <c r="G57" t="s">
        <v>0</v>
      </c>
      <c r="H57">
        <f t="shared" si="0"/>
        <v>0.39622641509433965</v>
      </c>
    </row>
    <row r="58" spans="1:8" x14ac:dyDescent="0.3">
      <c r="A58" t="s">
        <v>1097</v>
      </c>
      <c r="B58" t="s">
        <v>1</v>
      </c>
      <c r="C58">
        <v>3</v>
      </c>
      <c r="D58">
        <v>43</v>
      </c>
      <c r="E58">
        <v>108</v>
      </c>
      <c r="F58">
        <v>29.6</v>
      </c>
      <c r="G58" t="s">
        <v>0</v>
      </c>
      <c r="H58">
        <f t="shared" si="0"/>
        <v>0.39814814814814814</v>
      </c>
    </row>
    <row r="59" spans="1:8" x14ac:dyDescent="0.3">
      <c r="A59" t="s">
        <v>1173</v>
      </c>
      <c r="B59" t="s">
        <v>1</v>
      </c>
      <c r="C59">
        <v>3</v>
      </c>
      <c r="D59">
        <v>50</v>
      </c>
      <c r="E59">
        <v>103</v>
      </c>
      <c r="F59">
        <v>25.2</v>
      </c>
      <c r="G59" t="s">
        <v>0</v>
      </c>
      <c r="H59">
        <f t="shared" si="0"/>
        <v>0.4854368932038835</v>
      </c>
    </row>
    <row r="60" spans="1:8" x14ac:dyDescent="0.3">
      <c r="A60" t="s">
        <v>1133</v>
      </c>
      <c r="B60" t="s">
        <v>1</v>
      </c>
      <c r="C60">
        <v>3</v>
      </c>
      <c r="D60">
        <v>43</v>
      </c>
      <c r="E60">
        <v>103</v>
      </c>
      <c r="F60">
        <v>27.2</v>
      </c>
      <c r="G60" t="s">
        <v>0</v>
      </c>
      <c r="H60">
        <f t="shared" si="0"/>
        <v>0.41747572815533979</v>
      </c>
    </row>
    <row r="61" spans="1:8" x14ac:dyDescent="0.3">
      <c r="A61" t="s">
        <v>1093</v>
      </c>
      <c r="B61" t="s">
        <v>1</v>
      </c>
      <c r="C61">
        <v>3</v>
      </c>
      <c r="D61">
        <v>46</v>
      </c>
      <c r="E61">
        <v>100</v>
      </c>
      <c r="F61">
        <v>17</v>
      </c>
      <c r="G61" t="s">
        <v>0</v>
      </c>
      <c r="H61">
        <f t="shared" si="0"/>
        <v>0.46</v>
      </c>
    </row>
    <row r="62" spans="1:8" x14ac:dyDescent="0.3">
      <c r="A62" t="s">
        <v>1204</v>
      </c>
      <c r="B62" t="s">
        <v>1</v>
      </c>
      <c r="C62">
        <v>4</v>
      </c>
      <c r="D62">
        <v>61</v>
      </c>
      <c r="E62">
        <v>102</v>
      </c>
      <c r="F62">
        <v>19.600000000000001</v>
      </c>
      <c r="G62" t="s">
        <v>0</v>
      </c>
      <c r="H62">
        <f t="shared" si="0"/>
        <v>0.59803921568627449</v>
      </c>
    </row>
    <row r="63" spans="1:8" x14ac:dyDescent="0.3">
      <c r="A63" t="s">
        <v>1164</v>
      </c>
      <c r="B63" t="s">
        <v>1</v>
      </c>
      <c r="C63">
        <v>4</v>
      </c>
      <c r="D63">
        <v>58</v>
      </c>
      <c r="E63">
        <v>102</v>
      </c>
      <c r="F63">
        <v>5.9</v>
      </c>
      <c r="G63" t="s">
        <v>0</v>
      </c>
      <c r="H63">
        <f t="shared" si="0"/>
        <v>0.56862745098039214</v>
      </c>
    </row>
    <row r="64" spans="1:8" x14ac:dyDescent="0.3">
      <c r="A64" t="s">
        <v>1124</v>
      </c>
      <c r="B64" t="s">
        <v>1</v>
      </c>
      <c r="C64">
        <v>4</v>
      </c>
      <c r="D64">
        <v>55</v>
      </c>
      <c r="E64">
        <v>100</v>
      </c>
      <c r="F64">
        <v>26</v>
      </c>
      <c r="G64" t="s">
        <v>0</v>
      </c>
      <c r="H64">
        <f t="shared" si="0"/>
        <v>0.55000000000000004</v>
      </c>
    </row>
    <row r="65" spans="1:8" x14ac:dyDescent="0.3">
      <c r="A65" t="s">
        <v>1208</v>
      </c>
      <c r="B65" t="s">
        <v>1</v>
      </c>
      <c r="C65">
        <v>4</v>
      </c>
      <c r="D65">
        <v>54</v>
      </c>
      <c r="E65">
        <v>102</v>
      </c>
      <c r="F65">
        <v>20.6</v>
      </c>
      <c r="G65" t="s">
        <v>0</v>
      </c>
      <c r="H65">
        <f t="shared" si="0"/>
        <v>0.52941176470588236</v>
      </c>
    </row>
    <row r="66" spans="1:8" x14ac:dyDescent="0.3">
      <c r="A66" t="s">
        <v>1168</v>
      </c>
      <c r="B66" t="s">
        <v>1</v>
      </c>
      <c r="C66">
        <v>4</v>
      </c>
      <c r="D66">
        <v>52</v>
      </c>
      <c r="E66">
        <v>101</v>
      </c>
      <c r="F66">
        <v>12.9</v>
      </c>
      <c r="G66" t="s">
        <v>0</v>
      </c>
      <c r="H66">
        <f t="shared" si="0"/>
        <v>0.51485148514851486</v>
      </c>
    </row>
    <row r="67" spans="1:8" x14ac:dyDescent="0.3">
      <c r="A67" t="s">
        <v>1128</v>
      </c>
      <c r="B67" t="s">
        <v>1</v>
      </c>
      <c r="C67">
        <v>4</v>
      </c>
      <c r="D67">
        <v>54</v>
      </c>
      <c r="E67">
        <v>103</v>
      </c>
      <c r="F67">
        <v>10.7</v>
      </c>
      <c r="G67" t="s">
        <v>0</v>
      </c>
      <c r="H67">
        <f t="shared" ref="H67:H121" si="1">D67/E67</f>
        <v>0.52427184466019416</v>
      </c>
    </row>
    <row r="68" spans="1:8" x14ac:dyDescent="0.3">
      <c r="A68" t="s">
        <v>1200</v>
      </c>
      <c r="B68" t="s">
        <v>1</v>
      </c>
      <c r="C68">
        <v>4</v>
      </c>
      <c r="D68">
        <v>56</v>
      </c>
      <c r="E68">
        <v>100</v>
      </c>
      <c r="F68">
        <v>15</v>
      </c>
      <c r="G68" t="s">
        <v>0</v>
      </c>
      <c r="H68">
        <f t="shared" si="1"/>
        <v>0.56000000000000005</v>
      </c>
    </row>
    <row r="69" spans="1:8" x14ac:dyDescent="0.3">
      <c r="A69" t="s">
        <v>1160</v>
      </c>
      <c r="B69" t="s">
        <v>1</v>
      </c>
      <c r="C69">
        <v>4</v>
      </c>
      <c r="D69">
        <v>59</v>
      </c>
      <c r="E69">
        <v>101</v>
      </c>
      <c r="F69">
        <v>4</v>
      </c>
      <c r="G69" t="s">
        <v>0</v>
      </c>
      <c r="H69">
        <f t="shared" si="1"/>
        <v>0.58415841584158412</v>
      </c>
    </row>
    <row r="70" spans="1:8" x14ac:dyDescent="0.3">
      <c r="A70" t="s">
        <v>1120</v>
      </c>
      <c r="B70" t="s">
        <v>1</v>
      </c>
      <c r="C70">
        <v>4</v>
      </c>
      <c r="D70">
        <v>51</v>
      </c>
      <c r="E70">
        <v>100</v>
      </c>
      <c r="F70">
        <v>19</v>
      </c>
      <c r="G70" t="s">
        <v>0</v>
      </c>
      <c r="H70">
        <f t="shared" si="1"/>
        <v>0.51</v>
      </c>
    </row>
    <row r="71" spans="1:8" x14ac:dyDescent="0.3">
      <c r="A71" t="s">
        <v>1196</v>
      </c>
      <c r="B71" t="s">
        <v>1</v>
      </c>
      <c r="C71">
        <v>4</v>
      </c>
      <c r="D71">
        <v>50</v>
      </c>
      <c r="E71">
        <v>101</v>
      </c>
      <c r="F71">
        <v>19.8</v>
      </c>
      <c r="G71" t="s">
        <v>0</v>
      </c>
      <c r="H71">
        <f t="shared" si="1"/>
        <v>0.49504950495049505</v>
      </c>
    </row>
    <row r="72" spans="1:8" x14ac:dyDescent="0.3">
      <c r="A72" t="s">
        <v>1156</v>
      </c>
      <c r="B72" t="s">
        <v>1</v>
      </c>
      <c r="C72">
        <v>4</v>
      </c>
      <c r="D72">
        <v>54</v>
      </c>
      <c r="E72">
        <v>102</v>
      </c>
      <c r="F72">
        <v>0</v>
      </c>
      <c r="G72" t="s">
        <v>0</v>
      </c>
      <c r="H72">
        <f t="shared" si="1"/>
        <v>0.52941176470588236</v>
      </c>
    </row>
    <row r="73" spans="1:8" x14ac:dyDescent="0.3">
      <c r="A73" t="s">
        <v>1116</v>
      </c>
      <c r="B73" t="s">
        <v>1</v>
      </c>
      <c r="C73">
        <v>4</v>
      </c>
      <c r="D73">
        <v>47</v>
      </c>
      <c r="E73">
        <v>100</v>
      </c>
      <c r="F73">
        <v>20</v>
      </c>
      <c r="G73" t="s">
        <v>0</v>
      </c>
      <c r="H73">
        <f t="shared" si="1"/>
        <v>0.47</v>
      </c>
    </row>
    <row r="74" spans="1:8" x14ac:dyDescent="0.3">
      <c r="A74" t="s">
        <v>1192</v>
      </c>
      <c r="B74" t="s">
        <v>1</v>
      </c>
      <c r="C74">
        <v>4</v>
      </c>
      <c r="D74">
        <v>59</v>
      </c>
      <c r="E74">
        <v>104</v>
      </c>
      <c r="F74">
        <v>6.7</v>
      </c>
      <c r="G74" t="s">
        <v>0</v>
      </c>
      <c r="H74">
        <f t="shared" si="1"/>
        <v>0.56730769230769229</v>
      </c>
    </row>
    <row r="75" spans="1:8" x14ac:dyDescent="0.3">
      <c r="A75" t="s">
        <v>1152</v>
      </c>
      <c r="B75" t="s">
        <v>1</v>
      </c>
      <c r="C75">
        <v>4</v>
      </c>
      <c r="D75">
        <v>57</v>
      </c>
      <c r="E75">
        <v>107</v>
      </c>
      <c r="F75">
        <v>27.1</v>
      </c>
      <c r="G75" t="s">
        <v>0</v>
      </c>
      <c r="H75">
        <f t="shared" si="1"/>
        <v>0.53271028037383172</v>
      </c>
    </row>
    <row r="76" spans="1:8" x14ac:dyDescent="0.3">
      <c r="A76" t="s">
        <v>1112</v>
      </c>
      <c r="B76" t="s">
        <v>1</v>
      </c>
      <c r="C76">
        <v>4</v>
      </c>
      <c r="D76">
        <v>53</v>
      </c>
      <c r="E76">
        <v>106</v>
      </c>
      <c r="F76">
        <v>23.6</v>
      </c>
      <c r="G76" t="s">
        <v>0</v>
      </c>
      <c r="H76">
        <f t="shared" si="1"/>
        <v>0.5</v>
      </c>
    </row>
    <row r="77" spans="1:8" x14ac:dyDescent="0.3">
      <c r="A77" t="s">
        <v>1188</v>
      </c>
      <c r="B77" t="s">
        <v>1</v>
      </c>
      <c r="C77">
        <v>4</v>
      </c>
      <c r="D77">
        <v>57</v>
      </c>
      <c r="E77">
        <v>103</v>
      </c>
      <c r="F77">
        <v>40.799999999999997</v>
      </c>
      <c r="G77" t="s">
        <v>0</v>
      </c>
      <c r="H77">
        <f t="shared" si="1"/>
        <v>0.55339805825242716</v>
      </c>
    </row>
    <row r="78" spans="1:8" x14ac:dyDescent="0.3">
      <c r="A78" t="s">
        <v>1148</v>
      </c>
      <c r="B78" t="s">
        <v>1</v>
      </c>
      <c r="C78">
        <v>4</v>
      </c>
      <c r="D78">
        <v>55</v>
      </c>
      <c r="E78">
        <v>100</v>
      </c>
      <c r="F78">
        <v>13</v>
      </c>
      <c r="G78" t="s">
        <v>0</v>
      </c>
      <c r="H78">
        <f t="shared" si="1"/>
        <v>0.55000000000000004</v>
      </c>
    </row>
    <row r="79" spans="1:8" x14ac:dyDescent="0.3">
      <c r="A79" t="s">
        <v>1108</v>
      </c>
      <c r="B79" t="s">
        <v>1</v>
      </c>
      <c r="C79">
        <v>4</v>
      </c>
      <c r="D79">
        <v>56</v>
      </c>
      <c r="E79">
        <v>100</v>
      </c>
      <c r="F79">
        <v>8</v>
      </c>
      <c r="G79" t="s">
        <v>0</v>
      </c>
      <c r="H79">
        <f t="shared" si="1"/>
        <v>0.56000000000000005</v>
      </c>
    </row>
    <row r="80" spans="1:8" x14ac:dyDescent="0.3">
      <c r="A80" t="s">
        <v>1184</v>
      </c>
      <c r="B80" t="s">
        <v>1</v>
      </c>
      <c r="C80">
        <v>4</v>
      </c>
      <c r="D80">
        <v>51</v>
      </c>
      <c r="E80">
        <v>102</v>
      </c>
      <c r="F80">
        <v>8.8000000000000007</v>
      </c>
      <c r="G80" t="s">
        <v>0</v>
      </c>
      <c r="H80">
        <f t="shared" si="1"/>
        <v>0.5</v>
      </c>
    </row>
    <row r="81" spans="1:8" x14ac:dyDescent="0.3">
      <c r="A81" t="s">
        <v>1144</v>
      </c>
      <c r="B81" t="s">
        <v>1</v>
      </c>
      <c r="C81">
        <v>4</v>
      </c>
      <c r="D81">
        <v>54</v>
      </c>
      <c r="E81">
        <v>103</v>
      </c>
      <c r="F81">
        <v>27.2</v>
      </c>
      <c r="G81" t="s">
        <v>0</v>
      </c>
      <c r="H81">
        <f t="shared" si="1"/>
        <v>0.52427184466019416</v>
      </c>
    </row>
    <row r="82" spans="1:8" x14ac:dyDescent="0.3">
      <c r="A82" t="s">
        <v>1104</v>
      </c>
      <c r="B82" t="s">
        <v>1</v>
      </c>
      <c r="C82">
        <v>4</v>
      </c>
      <c r="D82">
        <v>55</v>
      </c>
      <c r="E82">
        <v>100</v>
      </c>
      <c r="F82">
        <v>9</v>
      </c>
      <c r="G82" t="s">
        <v>0</v>
      </c>
      <c r="H82">
        <f t="shared" si="1"/>
        <v>0.55000000000000004</v>
      </c>
    </row>
    <row r="83" spans="1:8" x14ac:dyDescent="0.3">
      <c r="A83" t="s">
        <v>1180</v>
      </c>
      <c r="B83" t="s">
        <v>1</v>
      </c>
      <c r="C83">
        <v>4</v>
      </c>
      <c r="D83">
        <v>52</v>
      </c>
      <c r="E83">
        <v>100</v>
      </c>
      <c r="F83">
        <v>28</v>
      </c>
      <c r="G83" t="s">
        <v>0</v>
      </c>
      <c r="H83">
        <f t="shared" si="1"/>
        <v>0.52</v>
      </c>
    </row>
    <row r="84" spans="1:8" x14ac:dyDescent="0.3">
      <c r="A84" t="s">
        <v>1140</v>
      </c>
      <c r="B84" t="s">
        <v>1</v>
      </c>
      <c r="C84">
        <v>4</v>
      </c>
      <c r="D84">
        <v>52</v>
      </c>
      <c r="E84">
        <v>104</v>
      </c>
      <c r="F84">
        <v>14.4</v>
      </c>
      <c r="G84" t="s">
        <v>0</v>
      </c>
      <c r="H84">
        <f t="shared" si="1"/>
        <v>0.5</v>
      </c>
    </row>
    <row r="85" spans="1:8" x14ac:dyDescent="0.3">
      <c r="A85" t="s">
        <v>1100</v>
      </c>
      <c r="B85" t="s">
        <v>1</v>
      </c>
      <c r="C85">
        <v>4</v>
      </c>
      <c r="D85">
        <v>54</v>
      </c>
      <c r="E85">
        <v>102</v>
      </c>
      <c r="F85">
        <v>7.8</v>
      </c>
      <c r="G85" t="s">
        <v>0</v>
      </c>
      <c r="H85">
        <f t="shared" si="1"/>
        <v>0.52941176470588236</v>
      </c>
    </row>
    <row r="86" spans="1:8" x14ac:dyDescent="0.3">
      <c r="A86" t="s">
        <v>1176</v>
      </c>
      <c r="B86" t="s">
        <v>1</v>
      </c>
      <c r="C86">
        <v>4</v>
      </c>
      <c r="D86">
        <v>58</v>
      </c>
      <c r="E86">
        <v>105</v>
      </c>
      <c r="F86">
        <v>18.100000000000001</v>
      </c>
      <c r="G86" t="s">
        <v>0</v>
      </c>
      <c r="H86">
        <f t="shared" si="1"/>
        <v>0.55238095238095242</v>
      </c>
    </row>
    <row r="87" spans="1:8" x14ac:dyDescent="0.3">
      <c r="A87" t="s">
        <v>1136</v>
      </c>
      <c r="B87" t="s">
        <v>1</v>
      </c>
      <c r="C87">
        <v>4</v>
      </c>
      <c r="D87">
        <v>50</v>
      </c>
      <c r="E87">
        <v>106</v>
      </c>
      <c r="F87">
        <v>3.8</v>
      </c>
      <c r="G87" t="s">
        <v>0</v>
      </c>
      <c r="H87">
        <f t="shared" si="1"/>
        <v>0.47169811320754718</v>
      </c>
    </row>
    <row r="88" spans="1:8" x14ac:dyDescent="0.3">
      <c r="A88" t="s">
        <v>1096</v>
      </c>
      <c r="B88" t="s">
        <v>1</v>
      </c>
      <c r="C88">
        <v>4</v>
      </c>
      <c r="D88">
        <v>54</v>
      </c>
      <c r="E88">
        <v>108</v>
      </c>
      <c r="F88">
        <v>5.6</v>
      </c>
      <c r="G88" t="s">
        <v>0</v>
      </c>
      <c r="H88">
        <f t="shared" si="1"/>
        <v>0.5</v>
      </c>
    </row>
    <row r="89" spans="1:8" x14ac:dyDescent="0.3">
      <c r="A89" t="s">
        <v>1172</v>
      </c>
      <c r="B89" t="s">
        <v>1</v>
      </c>
      <c r="C89">
        <v>4</v>
      </c>
      <c r="D89">
        <v>58</v>
      </c>
      <c r="E89">
        <v>103</v>
      </c>
      <c r="F89">
        <v>18.399999999999999</v>
      </c>
      <c r="G89" t="s">
        <v>0</v>
      </c>
      <c r="H89">
        <f t="shared" si="1"/>
        <v>0.56310679611650483</v>
      </c>
    </row>
    <row r="90" spans="1:8" x14ac:dyDescent="0.3">
      <c r="A90" t="s">
        <v>1132</v>
      </c>
      <c r="B90" t="s">
        <v>1</v>
      </c>
      <c r="C90">
        <v>4</v>
      </c>
      <c r="D90">
        <v>50</v>
      </c>
      <c r="E90">
        <v>103</v>
      </c>
      <c r="F90">
        <v>3.9</v>
      </c>
      <c r="G90" t="s">
        <v>0</v>
      </c>
      <c r="H90">
        <f t="shared" si="1"/>
        <v>0.4854368932038835</v>
      </c>
    </row>
    <row r="91" spans="1:8" x14ac:dyDescent="0.3">
      <c r="A91" t="s">
        <v>1092</v>
      </c>
      <c r="B91" t="s">
        <v>1</v>
      </c>
      <c r="C91">
        <v>4</v>
      </c>
      <c r="D91">
        <v>51</v>
      </c>
      <c r="E91">
        <v>100</v>
      </c>
      <c r="F91">
        <v>9</v>
      </c>
      <c r="G91" t="s">
        <v>0</v>
      </c>
      <c r="H91">
        <f t="shared" si="1"/>
        <v>0.51</v>
      </c>
    </row>
    <row r="92" spans="1:8" x14ac:dyDescent="0.3">
      <c r="A92" t="s">
        <v>1203</v>
      </c>
      <c r="B92" t="s">
        <v>1</v>
      </c>
      <c r="C92">
        <v>5</v>
      </c>
      <c r="D92">
        <v>57</v>
      </c>
      <c r="E92">
        <v>102</v>
      </c>
      <c r="F92">
        <v>13.7</v>
      </c>
      <c r="G92" t="s">
        <v>0</v>
      </c>
      <c r="H92">
        <f t="shared" si="1"/>
        <v>0.55882352941176472</v>
      </c>
    </row>
    <row r="93" spans="1:8" x14ac:dyDescent="0.3">
      <c r="A93" t="s">
        <v>1163</v>
      </c>
      <c r="B93" t="s">
        <v>1</v>
      </c>
      <c r="C93">
        <v>5</v>
      </c>
      <c r="D93">
        <v>60</v>
      </c>
      <c r="E93">
        <v>102</v>
      </c>
      <c r="F93">
        <v>5.9</v>
      </c>
      <c r="G93" t="s">
        <v>0</v>
      </c>
      <c r="H93">
        <f t="shared" si="1"/>
        <v>0.58823529411764708</v>
      </c>
    </row>
    <row r="94" spans="1:8" x14ac:dyDescent="0.3">
      <c r="A94" t="s">
        <v>1123</v>
      </c>
      <c r="B94" t="s">
        <v>1</v>
      </c>
      <c r="C94">
        <v>5</v>
      </c>
      <c r="D94">
        <v>62</v>
      </c>
      <c r="E94">
        <v>100</v>
      </c>
      <c r="F94">
        <v>9</v>
      </c>
      <c r="G94" t="s">
        <v>0</v>
      </c>
      <c r="H94">
        <f t="shared" si="1"/>
        <v>0.62</v>
      </c>
    </row>
    <row r="95" spans="1:8" x14ac:dyDescent="0.3">
      <c r="A95" t="s">
        <v>1207</v>
      </c>
      <c r="B95" t="s">
        <v>1</v>
      </c>
      <c r="C95">
        <v>5</v>
      </c>
      <c r="D95">
        <v>60</v>
      </c>
      <c r="E95">
        <v>102</v>
      </c>
      <c r="F95">
        <v>2.9</v>
      </c>
      <c r="G95" t="s">
        <v>0</v>
      </c>
      <c r="H95">
        <f t="shared" si="1"/>
        <v>0.58823529411764708</v>
      </c>
    </row>
    <row r="96" spans="1:8" x14ac:dyDescent="0.3">
      <c r="A96" t="s">
        <v>1167</v>
      </c>
      <c r="B96" t="s">
        <v>1</v>
      </c>
      <c r="C96">
        <v>5</v>
      </c>
      <c r="D96">
        <v>56</v>
      </c>
      <c r="E96">
        <v>101</v>
      </c>
      <c r="F96">
        <v>14.9</v>
      </c>
      <c r="G96" t="s">
        <v>0</v>
      </c>
      <c r="H96">
        <f t="shared" si="1"/>
        <v>0.5544554455445545</v>
      </c>
    </row>
    <row r="97" spans="1:8" x14ac:dyDescent="0.3">
      <c r="A97" t="s">
        <v>1127</v>
      </c>
      <c r="B97" t="s">
        <v>1</v>
      </c>
      <c r="C97">
        <v>5</v>
      </c>
      <c r="D97">
        <v>59</v>
      </c>
      <c r="E97">
        <v>103</v>
      </c>
      <c r="F97">
        <v>23.3</v>
      </c>
      <c r="G97" t="s">
        <v>0</v>
      </c>
      <c r="H97">
        <f t="shared" si="1"/>
        <v>0.57281553398058249</v>
      </c>
    </row>
    <row r="98" spans="1:8" x14ac:dyDescent="0.3">
      <c r="A98" t="s">
        <v>1199</v>
      </c>
      <c r="B98" t="s">
        <v>1</v>
      </c>
      <c r="C98">
        <v>5</v>
      </c>
      <c r="D98">
        <v>57</v>
      </c>
      <c r="E98">
        <v>100</v>
      </c>
      <c r="F98">
        <v>10</v>
      </c>
      <c r="G98" t="s">
        <v>0</v>
      </c>
      <c r="H98">
        <f t="shared" si="1"/>
        <v>0.56999999999999995</v>
      </c>
    </row>
    <row r="99" spans="1:8" x14ac:dyDescent="0.3">
      <c r="A99" t="s">
        <v>1159</v>
      </c>
      <c r="B99" t="s">
        <v>1</v>
      </c>
      <c r="C99">
        <v>5</v>
      </c>
      <c r="D99">
        <v>65</v>
      </c>
      <c r="E99">
        <v>101</v>
      </c>
      <c r="F99">
        <v>21.8</v>
      </c>
      <c r="G99" t="s">
        <v>0</v>
      </c>
      <c r="H99">
        <f t="shared" si="1"/>
        <v>0.64356435643564358</v>
      </c>
    </row>
    <row r="100" spans="1:8" x14ac:dyDescent="0.3">
      <c r="A100" t="s">
        <v>1119</v>
      </c>
      <c r="B100" t="s">
        <v>1</v>
      </c>
      <c r="C100">
        <v>5</v>
      </c>
      <c r="D100">
        <v>58</v>
      </c>
      <c r="E100">
        <v>100</v>
      </c>
      <c r="F100">
        <v>18</v>
      </c>
      <c r="G100" t="s">
        <v>0</v>
      </c>
      <c r="H100">
        <f t="shared" si="1"/>
        <v>0.57999999999999996</v>
      </c>
    </row>
    <row r="101" spans="1:8" x14ac:dyDescent="0.3">
      <c r="A101" t="s">
        <v>1195</v>
      </c>
      <c r="B101" t="s">
        <v>1</v>
      </c>
      <c r="C101">
        <v>5</v>
      </c>
      <c r="D101">
        <v>63</v>
      </c>
      <c r="E101">
        <v>101</v>
      </c>
      <c r="F101">
        <v>17.8</v>
      </c>
      <c r="G101" t="s">
        <v>0</v>
      </c>
      <c r="H101">
        <f t="shared" si="1"/>
        <v>0.62376237623762376</v>
      </c>
    </row>
    <row r="102" spans="1:8" x14ac:dyDescent="0.3">
      <c r="A102" t="s">
        <v>1155</v>
      </c>
      <c r="B102" t="s">
        <v>1</v>
      </c>
      <c r="C102">
        <v>5</v>
      </c>
      <c r="D102">
        <v>65</v>
      </c>
      <c r="E102">
        <v>102</v>
      </c>
      <c r="F102">
        <v>33.299999999999997</v>
      </c>
      <c r="G102" t="s">
        <v>0</v>
      </c>
      <c r="H102">
        <f t="shared" si="1"/>
        <v>0.63725490196078427</v>
      </c>
    </row>
    <row r="103" spans="1:8" x14ac:dyDescent="0.3">
      <c r="A103" t="s">
        <v>1115</v>
      </c>
      <c r="B103" t="s">
        <v>1</v>
      </c>
      <c r="C103">
        <v>5</v>
      </c>
      <c r="D103">
        <v>55</v>
      </c>
      <c r="E103">
        <v>100</v>
      </c>
      <c r="F103">
        <v>15</v>
      </c>
      <c r="G103" t="s">
        <v>0</v>
      </c>
      <c r="H103">
        <f t="shared" si="1"/>
        <v>0.55000000000000004</v>
      </c>
    </row>
    <row r="104" spans="1:8" x14ac:dyDescent="0.3">
      <c r="A104" t="s">
        <v>1191</v>
      </c>
      <c r="B104" t="s">
        <v>1</v>
      </c>
      <c r="C104">
        <v>5</v>
      </c>
      <c r="D104">
        <v>68</v>
      </c>
      <c r="E104">
        <v>104</v>
      </c>
      <c r="F104">
        <v>6.7</v>
      </c>
      <c r="G104" t="s">
        <v>0</v>
      </c>
      <c r="H104">
        <f t="shared" si="1"/>
        <v>0.65384615384615385</v>
      </c>
    </row>
    <row r="105" spans="1:8" x14ac:dyDescent="0.3">
      <c r="A105" t="s">
        <v>1151</v>
      </c>
      <c r="B105" t="s">
        <v>1</v>
      </c>
      <c r="C105">
        <v>5</v>
      </c>
      <c r="D105">
        <v>60</v>
      </c>
      <c r="E105">
        <v>107</v>
      </c>
      <c r="F105">
        <v>34.6</v>
      </c>
      <c r="G105" t="s">
        <v>0</v>
      </c>
      <c r="H105">
        <f t="shared" si="1"/>
        <v>0.56074766355140182</v>
      </c>
    </row>
    <row r="106" spans="1:8" x14ac:dyDescent="0.3">
      <c r="A106" t="s">
        <v>1111</v>
      </c>
      <c r="B106" t="s">
        <v>1</v>
      </c>
      <c r="C106">
        <v>5</v>
      </c>
      <c r="D106">
        <v>56</v>
      </c>
      <c r="E106">
        <v>106</v>
      </c>
      <c r="F106">
        <v>14.2</v>
      </c>
      <c r="G106" t="s">
        <v>0</v>
      </c>
      <c r="H106">
        <f t="shared" si="1"/>
        <v>0.52830188679245282</v>
      </c>
    </row>
    <row r="107" spans="1:8" x14ac:dyDescent="0.3">
      <c r="A107" t="s">
        <v>1187</v>
      </c>
      <c r="B107" t="s">
        <v>1</v>
      </c>
      <c r="C107">
        <v>5</v>
      </c>
      <c r="D107">
        <v>56</v>
      </c>
      <c r="E107">
        <v>103</v>
      </c>
      <c r="F107">
        <v>30.1</v>
      </c>
      <c r="G107" t="s">
        <v>0</v>
      </c>
      <c r="H107">
        <f t="shared" si="1"/>
        <v>0.5436893203883495</v>
      </c>
    </row>
    <row r="108" spans="1:8" x14ac:dyDescent="0.3">
      <c r="A108" t="s">
        <v>1147</v>
      </c>
      <c r="B108" t="s">
        <v>1</v>
      </c>
      <c r="C108">
        <v>5</v>
      </c>
      <c r="D108">
        <v>58</v>
      </c>
      <c r="E108">
        <v>100</v>
      </c>
      <c r="F108">
        <v>13</v>
      </c>
      <c r="G108" t="s">
        <v>0</v>
      </c>
      <c r="H108">
        <f t="shared" si="1"/>
        <v>0.57999999999999996</v>
      </c>
    </row>
    <row r="109" spans="1:8" x14ac:dyDescent="0.3">
      <c r="A109" t="s">
        <v>1107</v>
      </c>
      <c r="B109" t="s">
        <v>1</v>
      </c>
      <c r="C109">
        <v>5</v>
      </c>
      <c r="D109">
        <v>62</v>
      </c>
      <c r="E109">
        <v>100</v>
      </c>
      <c r="F109">
        <v>13</v>
      </c>
      <c r="G109" t="s">
        <v>0</v>
      </c>
      <c r="H109">
        <f t="shared" si="1"/>
        <v>0.62</v>
      </c>
    </row>
    <row r="110" spans="1:8" x14ac:dyDescent="0.3">
      <c r="A110" t="s">
        <v>1183</v>
      </c>
      <c r="B110" t="s">
        <v>1</v>
      </c>
      <c r="C110">
        <v>5</v>
      </c>
      <c r="D110">
        <v>65</v>
      </c>
      <c r="E110">
        <v>102</v>
      </c>
      <c r="F110">
        <v>10.8</v>
      </c>
      <c r="G110" t="s">
        <v>0</v>
      </c>
      <c r="H110">
        <f t="shared" si="1"/>
        <v>0.63725490196078427</v>
      </c>
    </row>
    <row r="111" spans="1:8" x14ac:dyDescent="0.3">
      <c r="A111" t="s">
        <v>1143</v>
      </c>
      <c r="B111" t="s">
        <v>1</v>
      </c>
      <c r="C111">
        <v>5</v>
      </c>
      <c r="D111">
        <v>57</v>
      </c>
      <c r="E111">
        <v>103</v>
      </c>
      <c r="F111">
        <v>14.6</v>
      </c>
      <c r="G111" t="s">
        <v>0</v>
      </c>
      <c r="H111">
        <f t="shared" si="1"/>
        <v>0.55339805825242716</v>
      </c>
    </row>
    <row r="112" spans="1:8" x14ac:dyDescent="0.3">
      <c r="A112" t="s">
        <v>1103</v>
      </c>
      <c r="B112" t="s">
        <v>1</v>
      </c>
      <c r="C112">
        <v>5</v>
      </c>
      <c r="D112">
        <v>61</v>
      </c>
      <c r="E112">
        <v>100</v>
      </c>
      <c r="F112">
        <v>19</v>
      </c>
      <c r="G112" t="s">
        <v>0</v>
      </c>
      <c r="H112">
        <f t="shared" si="1"/>
        <v>0.61</v>
      </c>
    </row>
    <row r="113" spans="1:8" x14ac:dyDescent="0.3">
      <c r="A113" t="s">
        <v>1179</v>
      </c>
      <c r="B113" t="s">
        <v>1</v>
      </c>
      <c r="C113">
        <v>5</v>
      </c>
      <c r="D113">
        <v>59</v>
      </c>
      <c r="E113">
        <v>100</v>
      </c>
      <c r="F113">
        <v>21</v>
      </c>
      <c r="G113" t="s">
        <v>0</v>
      </c>
      <c r="H113">
        <f t="shared" si="1"/>
        <v>0.59</v>
      </c>
    </row>
    <row r="114" spans="1:8" x14ac:dyDescent="0.3">
      <c r="A114" t="s">
        <v>1139</v>
      </c>
      <c r="B114" t="s">
        <v>1</v>
      </c>
      <c r="C114">
        <v>5</v>
      </c>
      <c r="D114">
        <v>62</v>
      </c>
      <c r="E114">
        <v>104</v>
      </c>
      <c r="F114">
        <v>22.1</v>
      </c>
      <c r="G114" t="s">
        <v>0</v>
      </c>
      <c r="H114">
        <f t="shared" si="1"/>
        <v>0.59615384615384615</v>
      </c>
    </row>
    <row r="115" spans="1:8" x14ac:dyDescent="0.3">
      <c r="A115" t="s">
        <v>1099</v>
      </c>
      <c r="B115" t="s">
        <v>1</v>
      </c>
      <c r="C115">
        <v>5</v>
      </c>
      <c r="D115">
        <v>65</v>
      </c>
      <c r="E115">
        <v>102</v>
      </c>
      <c r="F115">
        <v>18.600000000000001</v>
      </c>
      <c r="G115" t="s">
        <v>0</v>
      </c>
      <c r="H115">
        <f t="shared" si="1"/>
        <v>0.63725490196078427</v>
      </c>
    </row>
    <row r="116" spans="1:8" x14ac:dyDescent="0.3">
      <c r="A116" t="s">
        <v>1175</v>
      </c>
      <c r="B116" t="s">
        <v>1</v>
      </c>
      <c r="C116">
        <v>5</v>
      </c>
      <c r="D116">
        <v>59</v>
      </c>
      <c r="E116">
        <v>105</v>
      </c>
      <c r="F116">
        <v>20</v>
      </c>
      <c r="G116" t="s">
        <v>0</v>
      </c>
      <c r="H116">
        <f t="shared" si="1"/>
        <v>0.56190476190476191</v>
      </c>
    </row>
    <row r="117" spans="1:8" x14ac:dyDescent="0.3">
      <c r="A117" t="s">
        <v>1135</v>
      </c>
      <c r="B117" t="s">
        <v>1</v>
      </c>
      <c r="C117">
        <v>5</v>
      </c>
      <c r="D117">
        <v>56</v>
      </c>
      <c r="E117">
        <v>106</v>
      </c>
      <c r="F117">
        <v>34.9</v>
      </c>
      <c r="G117" t="s">
        <v>0</v>
      </c>
      <c r="H117">
        <f t="shared" si="1"/>
        <v>0.52830188679245282</v>
      </c>
    </row>
    <row r="118" spans="1:8" x14ac:dyDescent="0.3">
      <c r="A118" t="s">
        <v>1095</v>
      </c>
      <c r="B118" t="s">
        <v>1</v>
      </c>
      <c r="C118">
        <v>5</v>
      </c>
      <c r="D118">
        <v>58</v>
      </c>
      <c r="E118">
        <v>108</v>
      </c>
      <c r="F118">
        <v>21.3</v>
      </c>
      <c r="G118" t="s">
        <v>0</v>
      </c>
      <c r="H118">
        <f t="shared" si="1"/>
        <v>0.53703703703703709</v>
      </c>
    </row>
    <row r="119" spans="1:8" x14ac:dyDescent="0.3">
      <c r="A119" t="s">
        <v>1171</v>
      </c>
      <c r="B119" t="s">
        <v>1</v>
      </c>
      <c r="C119">
        <v>5</v>
      </c>
      <c r="D119">
        <v>65</v>
      </c>
      <c r="E119">
        <v>103</v>
      </c>
      <c r="F119">
        <v>7.8</v>
      </c>
      <c r="G119" t="s">
        <v>0</v>
      </c>
      <c r="H119">
        <f t="shared" si="1"/>
        <v>0.6310679611650486</v>
      </c>
    </row>
    <row r="120" spans="1:8" x14ac:dyDescent="0.3">
      <c r="A120" t="s">
        <v>1131</v>
      </c>
      <c r="B120" t="s">
        <v>1</v>
      </c>
      <c r="C120">
        <v>5</v>
      </c>
      <c r="D120">
        <v>59</v>
      </c>
      <c r="E120">
        <v>103</v>
      </c>
      <c r="F120">
        <v>4.9000000000000004</v>
      </c>
      <c r="G120" t="s">
        <v>0</v>
      </c>
      <c r="H120">
        <f t="shared" si="1"/>
        <v>0.57281553398058249</v>
      </c>
    </row>
    <row r="121" spans="1:8" x14ac:dyDescent="0.3">
      <c r="A121" t="s">
        <v>1091</v>
      </c>
      <c r="B121" t="s">
        <v>1</v>
      </c>
      <c r="C121">
        <v>5</v>
      </c>
      <c r="D121">
        <v>60</v>
      </c>
      <c r="E121">
        <v>100</v>
      </c>
      <c r="F121">
        <v>10</v>
      </c>
      <c r="G121" t="s">
        <v>0</v>
      </c>
      <c r="H121">
        <f t="shared" si="1"/>
        <v>0.6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4C1A-BA81-44F1-B567-0CF70E75284A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129</v>
      </c>
      <c r="B1" t="s">
        <v>128</v>
      </c>
      <c r="C1" t="s">
        <v>127</v>
      </c>
      <c r="D1" t="s">
        <v>126</v>
      </c>
      <c r="E1" t="s">
        <v>125</v>
      </c>
      <c r="F1" t="s">
        <v>124</v>
      </c>
      <c r="G1" t="s">
        <v>123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246</v>
      </c>
      <c r="B2" t="s">
        <v>130</v>
      </c>
      <c r="C2">
        <v>0.3</v>
      </c>
      <c r="D2">
        <v>38</v>
      </c>
      <c r="E2">
        <v>102</v>
      </c>
      <c r="F2">
        <v>24.5</v>
      </c>
      <c r="G2" t="s">
        <v>0</v>
      </c>
      <c r="H2">
        <f>D2/E2</f>
        <v>0.37254901960784315</v>
      </c>
      <c r="J2" t="s">
        <v>1237</v>
      </c>
      <c r="K2">
        <f>AVERAGE(F2:F31)</f>
        <v>16.823333333333338</v>
      </c>
      <c r="L2">
        <f>MIN(F2:F31)</f>
        <v>0</v>
      </c>
      <c r="M2">
        <f>MAX(F2:F31)</f>
        <v>64</v>
      </c>
      <c r="N2">
        <f>AVERAGE(H2:H31)</f>
        <v>0.3584560324863465</v>
      </c>
    </row>
    <row r="3" spans="1:14" x14ac:dyDescent="0.3">
      <c r="A3" t="s">
        <v>206</v>
      </c>
      <c r="B3" t="s">
        <v>130</v>
      </c>
      <c r="C3">
        <v>0.3</v>
      </c>
      <c r="D3">
        <v>37</v>
      </c>
      <c r="E3">
        <v>102</v>
      </c>
      <c r="F3">
        <v>29.4</v>
      </c>
      <c r="G3" t="s">
        <v>0</v>
      </c>
      <c r="H3">
        <f t="shared" ref="H3:H66" si="0">D3/E3</f>
        <v>0.36274509803921567</v>
      </c>
      <c r="J3" t="s">
        <v>1238</v>
      </c>
      <c r="K3">
        <f>AVERAGE(F32:F61)</f>
        <v>9.4699999999999989</v>
      </c>
      <c r="L3">
        <f>MIN(F32:F61)</f>
        <v>1</v>
      </c>
      <c r="M3">
        <f>MAX(F32:F61)</f>
        <v>24.3</v>
      </c>
      <c r="N3">
        <f>AVERAGE(H32:H61)</f>
        <v>0.53718973902174105</v>
      </c>
    </row>
    <row r="4" spans="1:14" x14ac:dyDescent="0.3">
      <c r="A4" t="s">
        <v>166</v>
      </c>
      <c r="B4" t="s">
        <v>130</v>
      </c>
      <c r="C4">
        <v>0.3</v>
      </c>
      <c r="D4">
        <v>37</v>
      </c>
      <c r="E4">
        <v>100</v>
      </c>
      <c r="F4">
        <v>10</v>
      </c>
      <c r="G4" t="s">
        <v>0</v>
      </c>
      <c r="H4">
        <f t="shared" si="0"/>
        <v>0.37</v>
      </c>
      <c r="J4" t="s">
        <v>1239</v>
      </c>
      <c r="K4">
        <f>AVERAGE(F62:F91)</f>
        <v>8.7433333333333358</v>
      </c>
      <c r="L4">
        <f>MIN(F62:F91)</f>
        <v>0</v>
      </c>
      <c r="M4">
        <f>MAX(F62:F91)</f>
        <v>25</v>
      </c>
      <c r="N4">
        <f>AVERAGE(H62:H91)</f>
        <v>0.62920791207824367</v>
      </c>
    </row>
    <row r="5" spans="1:14" x14ac:dyDescent="0.3">
      <c r="A5" t="s">
        <v>250</v>
      </c>
      <c r="B5" t="s">
        <v>130</v>
      </c>
      <c r="C5">
        <v>0.3</v>
      </c>
      <c r="D5">
        <v>36</v>
      </c>
      <c r="E5">
        <v>102</v>
      </c>
      <c r="F5">
        <v>3.9</v>
      </c>
      <c r="G5" t="s">
        <v>0</v>
      </c>
      <c r="H5">
        <f t="shared" si="0"/>
        <v>0.35294117647058826</v>
      </c>
      <c r="J5" t="s">
        <v>1240</v>
      </c>
      <c r="K5">
        <f>AVERAGE(F92:F121)</f>
        <v>8.67</v>
      </c>
      <c r="L5">
        <f>MIN(F92:F121)</f>
        <v>1.9</v>
      </c>
      <c r="M5">
        <f>MAX(F92:F121)</f>
        <v>23.4</v>
      </c>
      <c r="N5">
        <f>AVERAGE(H92:H121)</f>
        <v>0.69584270253069436</v>
      </c>
    </row>
    <row r="6" spans="1:14" x14ac:dyDescent="0.3">
      <c r="A6" t="s">
        <v>210</v>
      </c>
      <c r="B6" t="s">
        <v>130</v>
      </c>
      <c r="C6">
        <v>0.3</v>
      </c>
      <c r="D6">
        <v>37</v>
      </c>
      <c r="E6">
        <v>101</v>
      </c>
      <c r="F6">
        <v>10.9</v>
      </c>
      <c r="G6" t="s">
        <v>0</v>
      </c>
      <c r="H6">
        <f t="shared" si="0"/>
        <v>0.36633663366336633</v>
      </c>
    </row>
    <row r="7" spans="1:14" x14ac:dyDescent="0.3">
      <c r="A7" t="s">
        <v>170</v>
      </c>
      <c r="B7" t="s">
        <v>130</v>
      </c>
      <c r="C7">
        <v>0.3</v>
      </c>
      <c r="D7">
        <v>37</v>
      </c>
      <c r="E7">
        <v>103</v>
      </c>
      <c r="F7">
        <v>7.8</v>
      </c>
      <c r="G7" t="s">
        <v>0</v>
      </c>
      <c r="H7">
        <f t="shared" si="0"/>
        <v>0.35922330097087379</v>
      </c>
    </row>
    <row r="8" spans="1:14" x14ac:dyDescent="0.3">
      <c r="A8" t="s">
        <v>242</v>
      </c>
      <c r="B8" t="s">
        <v>130</v>
      </c>
      <c r="C8">
        <v>0.3</v>
      </c>
      <c r="D8">
        <v>35</v>
      </c>
      <c r="E8">
        <v>100</v>
      </c>
      <c r="F8">
        <v>4</v>
      </c>
      <c r="G8" t="s">
        <v>0</v>
      </c>
      <c r="H8">
        <f t="shared" si="0"/>
        <v>0.35</v>
      </c>
    </row>
    <row r="9" spans="1:14" x14ac:dyDescent="0.3">
      <c r="A9" t="s">
        <v>202</v>
      </c>
      <c r="B9" t="s">
        <v>130</v>
      </c>
      <c r="C9">
        <v>0.3</v>
      </c>
      <c r="D9">
        <v>36</v>
      </c>
      <c r="E9">
        <v>101</v>
      </c>
      <c r="F9">
        <v>12.9</v>
      </c>
      <c r="G9" t="s">
        <v>0</v>
      </c>
      <c r="H9">
        <f t="shared" si="0"/>
        <v>0.35643564356435642</v>
      </c>
    </row>
    <row r="10" spans="1:14" x14ac:dyDescent="0.3">
      <c r="A10" t="s">
        <v>162</v>
      </c>
      <c r="B10" t="s">
        <v>130</v>
      </c>
      <c r="C10">
        <v>0.3</v>
      </c>
      <c r="D10">
        <v>36</v>
      </c>
      <c r="E10">
        <v>100</v>
      </c>
      <c r="F10">
        <v>64</v>
      </c>
      <c r="G10" t="s">
        <v>0</v>
      </c>
      <c r="H10">
        <f t="shared" si="0"/>
        <v>0.36</v>
      </c>
    </row>
    <row r="11" spans="1:14" x14ac:dyDescent="0.3">
      <c r="A11" t="s">
        <v>238</v>
      </c>
      <c r="B11" t="s">
        <v>130</v>
      </c>
      <c r="C11">
        <v>0.3</v>
      </c>
      <c r="D11">
        <v>37</v>
      </c>
      <c r="E11">
        <v>101</v>
      </c>
      <c r="F11">
        <v>31.7</v>
      </c>
      <c r="G11" t="s">
        <v>0</v>
      </c>
      <c r="H11">
        <f t="shared" si="0"/>
        <v>0.36633663366336633</v>
      </c>
    </row>
    <row r="12" spans="1:14" x14ac:dyDescent="0.3">
      <c r="A12" t="s">
        <v>198</v>
      </c>
      <c r="B12" t="s">
        <v>130</v>
      </c>
      <c r="C12">
        <v>0.3</v>
      </c>
      <c r="D12">
        <v>39</v>
      </c>
      <c r="E12">
        <v>102</v>
      </c>
      <c r="F12">
        <v>16.7</v>
      </c>
      <c r="G12" t="s">
        <v>0</v>
      </c>
      <c r="H12">
        <f t="shared" si="0"/>
        <v>0.38235294117647056</v>
      </c>
    </row>
    <row r="13" spans="1:14" x14ac:dyDescent="0.3">
      <c r="A13" t="s">
        <v>158</v>
      </c>
      <c r="B13" t="s">
        <v>130</v>
      </c>
      <c r="C13">
        <v>0.3</v>
      </c>
      <c r="D13">
        <v>37</v>
      </c>
      <c r="E13">
        <v>100</v>
      </c>
      <c r="F13">
        <v>5</v>
      </c>
      <c r="G13" t="s">
        <v>0</v>
      </c>
      <c r="H13">
        <f t="shared" si="0"/>
        <v>0.37</v>
      </c>
    </row>
    <row r="14" spans="1:14" x14ac:dyDescent="0.3">
      <c r="A14" t="s">
        <v>234</v>
      </c>
      <c r="B14" t="s">
        <v>130</v>
      </c>
      <c r="C14">
        <v>0.3</v>
      </c>
      <c r="D14">
        <v>36</v>
      </c>
      <c r="E14">
        <v>104</v>
      </c>
      <c r="F14">
        <v>27.9</v>
      </c>
      <c r="G14" t="s">
        <v>0</v>
      </c>
      <c r="H14">
        <f t="shared" si="0"/>
        <v>0.34615384615384615</v>
      </c>
    </row>
    <row r="15" spans="1:14" x14ac:dyDescent="0.3">
      <c r="A15" t="s">
        <v>194</v>
      </c>
      <c r="B15" t="s">
        <v>130</v>
      </c>
      <c r="C15">
        <v>0.3</v>
      </c>
      <c r="D15">
        <v>38</v>
      </c>
      <c r="E15">
        <v>107</v>
      </c>
      <c r="F15">
        <v>17.8</v>
      </c>
      <c r="G15" t="s">
        <v>0</v>
      </c>
      <c r="H15">
        <f t="shared" si="0"/>
        <v>0.35514018691588783</v>
      </c>
    </row>
    <row r="16" spans="1:14" x14ac:dyDescent="0.3">
      <c r="A16" t="s">
        <v>154</v>
      </c>
      <c r="B16" t="s">
        <v>130</v>
      </c>
      <c r="C16">
        <v>0.3</v>
      </c>
      <c r="D16">
        <v>38</v>
      </c>
      <c r="E16">
        <v>106</v>
      </c>
      <c r="F16">
        <v>23.6</v>
      </c>
      <c r="G16" t="s">
        <v>0</v>
      </c>
      <c r="H16">
        <f t="shared" si="0"/>
        <v>0.35849056603773582</v>
      </c>
    </row>
    <row r="17" spans="1:8" x14ac:dyDescent="0.3">
      <c r="A17" t="s">
        <v>230</v>
      </c>
      <c r="B17" t="s">
        <v>130</v>
      </c>
      <c r="C17">
        <v>0.3</v>
      </c>
      <c r="D17">
        <v>39</v>
      </c>
      <c r="E17">
        <v>103</v>
      </c>
      <c r="F17">
        <v>39.799999999999997</v>
      </c>
      <c r="G17" t="s">
        <v>0</v>
      </c>
      <c r="H17">
        <f t="shared" si="0"/>
        <v>0.37864077669902912</v>
      </c>
    </row>
    <row r="18" spans="1:8" x14ac:dyDescent="0.3">
      <c r="A18" t="s">
        <v>190</v>
      </c>
      <c r="B18" t="s">
        <v>130</v>
      </c>
      <c r="C18">
        <v>0.3</v>
      </c>
      <c r="D18">
        <v>37</v>
      </c>
      <c r="E18">
        <v>100</v>
      </c>
      <c r="F18">
        <v>41</v>
      </c>
      <c r="G18" t="s">
        <v>0</v>
      </c>
      <c r="H18">
        <f t="shared" si="0"/>
        <v>0.37</v>
      </c>
    </row>
    <row r="19" spans="1:8" x14ac:dyDescent="0.3">
      <c r="A19" t="s">
        <v>150</v>
      </c>
      <c r="B19" t="s">
        <v>130</v>
      </c>
      <c r="C19">
        <v>0.3</v>
      </c>
      <c r="D19">
        <v>36</v>
      </c>
      <c r="E19">
        <v>100</v>
      </c>
      <c r="F19">
        <v>6</v>
      </c>
      <c r="G19" t="s">
        <v>0</v>
      </c>
      <c r="H19">
        <f t="shared" si="0"/>
        <v>0.36</v>
      </c>
    </row>
    <row r="20" spans="1:8" x14ac:dyDescent="0.3">
      <c r="A20" t="s">
        <v>226</v>
      </c>
      <c r="B20" t="s">
        <v>130</v>
      </c>
      <c r="C20">
        <v>0.3</v>
      </c>
      <c r="D20">
        <v>36</v>
      </c>
      <c r="E20">
        <v>102</v>
      </c>
      <c r="F20">
        <v>17.600000000000001</v>
      </c>
      <c r="G20" t="s">
        <v>0</v>
      </c>
      <c r="H20">
        <f t="shared" si="0"/>
        <v>0.35294117647058826</v>
      </c>
    </row>
    <row r="21" spans="1:8" x14ac:dyDescent="0.3">
      <c r="A21" t="s">
        <v>186</v>
      </c>
      <c r="B21" t="s">
        <v>130</v>
      </c>
      <c r="C21">
        <v>0.3</v>
      </c>
      <c r="D21">
        <v>35</v>
      </c>
      <c r="E21">
        <v>103</v>
      </c>
      <c r="F21">
        <v>0</v>
      </c>
      <c r="G21" t="s">
        <v>0</v>
      </c>
      <c r="H21">
        <f t="shared" si="0"/>
        <v>0.33980582524271846</v>
      </c>
    </row>
    <row r="22" spans="1:8" x14ac:dyDescent="0.3">
      <c r="A22" t="s">
        <v>146</v>
      </c>
      <c r="B22" t="s">
        <v>130</v>
      </c>
      <c r="C22">
        <v>0.3</v>
      </c>
      <c r="D22">
        <v>32</v>
      </c>
      <c r="E22">
        <v>100</v>
      </c>
      <c r="F22">
        <v>18</v>
      </c>
      <c r="G22" t="s">
        <v>0</v>
      </c>
      <c r="H22">
        <f t="shared" si="0"/>
        <v>0.32</v>
      </c>
    </row>
    <row r="23" spans="1:8" x14ac:dyDescent="0.3">
      <c r="A23" t="s">
        <v>222</v>
      </c>
      <c r="B23" t="s">
        <v>130</v>
      </c>
      <c r="C23">
        <v>0.3</v>
      </c>
      <c r="D23">
        <v>37</v>
      </c>
      <c r="E23">
        <v>100</v>
      </c>
      <c r="F23">
        <v>8</v>
      </c>
      <c r="G23" t="s">
        <v>0</v>
      </c>
      <c r="H23">
        <f t="shared" si="0"/>
        <v>0.37</v>
      </c>
    </row>
    <row r="24" spans="1:8" x14ac:dyDescent="0.3">
      <c r="A24" t="s">
        <v>182</v>
      </c>
      <c r="B24" t="s">
        <v>130</v>
      </c>
      <c r="C24">
        <v>0.3</v>
      </c>
      <c r="D24">
        <v>37</v>
      </c>
      <c r="E24">
        <v>104</v>
      </c>
      <c r="F24">
        <v>3.8</v>
      </c>
      <c r="G24" t="s">
        <v>0</v>
      </c>
      <c r="H24">
        <f t="shared" si="0"/>
        <v>0.35576923076923078</v>
      </c>
    </row>
    <row r="25" spans="1:8" x14ac:dyDescent="0.3">
      <c r="A25" t="s">
        <v>142</v>
      </c>
      <c r="B25" t="s">
        <v>130</v>
      </c>
      <c r="C25">
        <v>0.3</v>
      </c>
      <c r="D25">
        <v>37</v>
      </c>
      <c r="E25">
        <v>102</v>
      </c>
      <c r="F25">
        <v>10.8</v>
      </c>
      <c r="G25" t="s">
        <v>0</v>
      </c>
      <c r="H25">
        <f t="shared" si="0"/>
        <v>0.36274509803921567</v>
      </c>
    </row>
    <row r="26" spans="1:8" x14ac:dyDescent="0.3">
      <c r="A26" t="s">
        <v>218</v>
      </c>
      <c r="B26" t="s">
        <v>130</v>
      </c>
      <c r="C26">
        <v>0.3</v>
      </c>
      <c r="D26">
        <v>37</v>
      </c>
      <c r="E26">
        <v>105</v>
      </c>
      <c r="F26">
        <v>9.5</v>
      </c>
      <c r="G26" t="s">
        <v>0</v>
      </c>
      <c r="H26">
        <f t="shared" si="0"/>
        <v>0.35238095238095241</v>
      </c>
    </row>
    <row r="27" spans="1:8" x14ac:dyDescent="0.3">
      <c r="A27" t="s">
        <v>178</v>
      </c>
      <c r="B27" t="s">
        <v>130</v>
      </c>
      <c r="C27">
        <v>0.3</v>
      </c>
      <c r="D27">
        <v>34</v>
      </c>
      <c r="E27">
        <v>106</v>
      </c>
      <c r="F27">
        <v>0</v>
      </c>
      <c r="G27" t="s">
        <v>0</v>
      </c>
      <c r="H27">
        <f t="shared" si="0"/>
        <v>0.32075471698113206</v>
      </c>
    </row>
    <row r="28" spans="1:8" x14ac:dyDescent="0.3">
      <c r="A28" t="s">
        <v>138</v>
      </c>
      <c r="B28" t="s">
        <v>130</v>
      </c>
      <c r="C28">
        <v>0.3</v>
      </c>
      <c r="D28">
        <v>35</v>
      </c>
      <c r="E28">
        <v>108</v>
      </c>
      <c r="F28">
        <v>2.8</v>
      </c>
      <c r="G28" t="s">
        <v>0</v>
      </c>
      <c r="H28">
        <f t="shared" si="0"/>
        <v>0.32407407407407407</v>
      </c>
    </row>
    <row r="29" spans="1:8" x14ac:dyDescent="0.3">
      <c r="A29" t="s">
        <v>214</v>
      </c>
      <c r="B29" t="s">
        <v>130</v>
      </c>
      <c r="C29">
        <v>0.3</v>
      </c>
      <c r="D29">
        <v>40</v>
      </c>
      <c r="E29">
        <v>103</v>
      </c>
      <c r="F29">
        <v>16.5</v>
      </c>
      <c r="G29" t="s">
        <v>0</v>
      </c>
      <c r="H29">
        <f t="shared" si="0"/>
        <v>0.38834951456310679</v>
      </c>
    </row>
    <row r="30" spans="1:8" x14ac:dyDescent="0.3">
      <c r="A30" t="s">
        <v>174</v>
      </c>
      <c r="B30" t="s">
        <v>130</v>
      </c>
      <c r="C30">
        <v>0.3</v>
      </c>
      <c r="D30">
        <v>36</v>
      </c>
      <c r="E30">
        <v>103</v>
      </c>
      <c r="F30">
        <v>40.799999999999997</v>
      </c>
      <c r="G30" t="s">
        <v>0</v>
      </c>
      <c r="H30">
        <f t="shared" si="0"/>
        <v>0.34951456310679613</v>
      </c>
    </row>
    <row r="31" spans="1:8" x14ac:dyDescent="0.3">
      <c r="A31" t="s">
        <v>134</v>
      </c>
      <c r="B31" t="s">
        <v>130</v>
      </c>
      <c r="C31">
        <v>0.3</v>
      </c>
      <c r="D31">
        <v>38</v>
      </c>
      <c r="E31">
        <v>100</v>
      </c>
      <c r="F31">
        <v>0</v>
      </c>
      <c r="G31" t="s">
        <v>0</v>
      </c>
      <c r="H31">
        <f t="shared" si="0"/>
        <v>0.38</v>
      </c>
    </row>
    <row r="32" spans="1:8" x14ac:dyDescent="0.3">
      <c r="A32" t="s">
        <v>245</v>
      </c>
      <c r="B32" t="s">
        <v>130</v>
      </c>
      <c r="C32">
        <v>0.6</v>
      </c>
      <c r="D32">
        <v>55</v>
      </c>
      <c r="E32">
        <v>102</v>
      </c>
      <c r="F32">
        <v>14.7</v>
      </c>
      <c r="G32" t="s">
        <v>0</v>
      </c>
      <c r="H32">
        <f t="shared" si="0"/>
        <v>0.53921568627450978</v>
      </c>
    </row>
    <row r="33" spans="1:8" x14ac:dyDescent="0.3">
      <c r="A33" t="s">
        <v>205</v>
      </c>
      <c r="B33" t="s">
        <v>130</v>
      </c>
      <c r="C33">
        <v>0.6</v>
      </c>
      <c r="D33">
        <v>58</v>
      </c>
      <c r="E33">
        <v>102</v>
      </c>
      <c r="F33">
        <v>8.8000000000000007</v>
      </c>
      <c r="G33" t="s">
        <v>0</v>
      </c>
      <c r="H33">
        <f t="shared" si="0"/>
        <v>0.56862745098039214</v>
      </c>
    </row>
    <row r="34" spans="1:8" x14ac:dyDescent="0.3">
      <c r="A34" t="s">
        <v>165</v>
      </c>
      <c r="B34" t="s">
        <v>130</v>
      </c>
      <c r="C34">
        <v>0.6</v>
      </c>
      <c r="D34">
        <v>55</v>
      </c>
      <c r="E34">
        <v>100</v>
      </c>
      <c r="F34">
        <v>11</v>
      </c>
      <c r="G34" t="s">
        <v>0</v>
      </c>
      <c r="H34">
        <f t="shared" si="0"/>
        <v>0.55000000000000004</v>
      </c>
    </row>
    <row r="35" spans="1:8" x14ac:dyDescent="0.3">
      <c r="A35" t="s">
        <v>249</v>
      </c>
      <c r="B35" t="s">
        <v>130</v>
      </c>
      <c r="C35">
        <v>0.6</v>
      </c>
      <c r="D35">
        <v>53</v>
      </c>
      <c r="E35">
        <v>102</v>
      </c>
      <c r="F35">
        <v>3.9</v>
      </c>
      <c r="G35" t="s">
        <v>0</v>
      </c>
      <c r="H35">
        <f t="shared" si="0"/>
        <v>0.51960784313725494</v>
      </c>
    </row>
    <row r="36" spans="1:8" x14ac:dyDescent="0.3">
      <c r="A36" t="s">
        <v>209</v>
      </c>
      <c r="B36" t="s">
        <v>130</v>
      </c>
      <c r="C36">
        <v>0.6</v>
      </c>
      <c r="D36">
        <v>50</v>
      </c>
      <c r="E36">
        <v>101</v>
      </c>
      <c r="F36">
        <v>14.9</v>
      </c>
      <c r="G36" t="s">
        <v>0</v>
      </c>
      <c r="H36">
        <f t="shared" si="0"/>
        <v>0.49504950495049505</v>
      </c>
    </row>
    <row r="37" spans="1:8" x14ac:dyDescent="0.3">
      <c r="A37" t="s">
        <v>169</v>
      </c>
      <c r="B37" t="s">
        <v>130</v>
      </c>
      <c r="C37">
        <v>0.6</v>
      </c>
      <c r="D37">
        <v>53</v>
      </c>
      <c r="E37">
        <v>103</v>
      </c>
      <c r="F37">
        <v>5.8</v>
      </c>
      <c r="G37" t="s">
        <v>0</v>
      </c>
      <c r="H37">
        <f t="shared" si="0"/>
        <v>0.5145631067961165</v>
      </c>
    </row>
    <row r="38" spans="1:8" x14ac:dyDescent="0.3">
      <c r="A38" t="s">
        <v>241</v>
      </c>
      <c r="B38" t="s">
        <v>130</v>
      </c>
      <c r="C38">
        <v>0.6</v>
      </c>
      <c r="D38">
        <v>55</v>
      </c>
      <c r="E38">
        <v>100</v>
      </c>
      <c r="F38">
        <v>13</v>
      </c>
      <c r="G38" t="s">
        <v>0</v>
      </c>
      <c r="H38">
        <f t="shared" si="0"/>
        <v>0.55000000000000004</v>
      </c>
    </row>
    <row r="39" spans="1:8" x14ac:dyDescent="0.3">
      <c r="A39" t="s">
        <v>201</v>
      </c>
      <c r="B39" t="s">
        <v>130</v>
      </c>
      <c r="C39">
        <v>0.6</v>
      </c>
      <c r="D39">
        <v>53</v>
      </c>
      <c r="E39">
        <v>101</v>
      </c>
      <c r="F39">
        <v>4</v>
      </c>
      <c r="G39" t="s">
        <v>0</v>
      </c>
      <c r="H39">
        <f t="shared" si="0"/>
        <v>0.52475247524752477</v>
      </c>
    </row>
    <row r="40" spans="1:8" x14ac:dyDescent="0.3">
      <c r="A40" t="s">
        <v>161</v>
      </c>
      <c r="B40" t="s">
        <v>130</v>
      </c>
      <c r="C40">
        <v>0.6</v>
      </c>
      <c r="D40">
        <v>54</v>
      </c>
      <c r="E40">
        <v>100</v>
      </c>
      <c r="F40">
        <v>19</v>
      </c>
      <c r="G40" t="s">
        <v>0</v>
      </c>
      <c r="H40">
        <f t="shared" si="0"/>
        <v>0.54</v>
      </c>
    </row>
    <row r="41" spans="1:8" x14ac:dyDescent="0.3">
      <c r="A41" t="s">
        <v>237</v>
      </c>
      <c r="B41" t="s">
        <v>130</v>
      </c>
      <c r="C41">
        <v>0.6</v>
      </c>
      <c r="D41">
        <v>56</v>
      </c>
      <c r="E41">
        <v>101</v>
      </c>
      <c r="F41">
        <v>1</v>
      </c>
      <c r="G41" t="s">
        <v>0</v>
      </c>
      <c r="H41">
        <f t="shared" si="0"/>
        <v>0.5544554455445545</v>
      </c>
    </row>
    <row r="42" spans="1:8" x14ac:dyDescent="0.3">
      <c r="A42" t="s">
        <v>197</v>
      </c>
      <c r="B42" t="s">
        <v>130</v>
      </c>
      <c r="C42">
        <v>0.6</v>
      </c>
      <c r="D42">
        <v>60</v>
      </c>
      <c r="E42">
        <v>102</v>
      </c>
      <c r="F42">
        <v>4.9000000000000004</v>
      </c>
      <c r="G42" t="s">
        <v>0</v>
      </c>
      <c r="H42">
        <f t="shared" si="0"/>
        <v>0.58823529411764708</v>
      </c>
    </row>
    <row r="43" spans="1:8" x14ac:dyDescent="0.3">
      <c r="A43" t="s">
        <v>157</v>
      </c>
      <c r="B43" t="s">
        <v>130</v>
      </c>
      <c r="C43">
        <v>0.6</v>
      </c>
      <c r="D43">
        <v>59</v>
      </c>
      <c r="E43">
        <v>100</v>
      </c>
      <c r="F43">
        <v>2</v>
      </c>
      <c r="G43" t="s">
        <v>0</v>
      </c>
      <c r="H43">
        <f t="shared" si="0"/>
        <v>0.59</v>
      </c>
    </row>
    <row r="44" spans="1:8" x14ac:dyDescent="0.3">
      <c r="A44" t="s">
        <v>233</v>
      </c>
      <c r="B44" t="s">
        <v>130</v>
      </c>
      <c r="C44">
        <v>0.6</v>
      </c>
      <c r="D44">
        <v>48</v>
      </c>
      <c r="E44">
        <v>104</v>
      </c>
      <c r="F44">
        <v>4.8</v>
      </c>
      <c r="G44" t="s">
        <v>0</v>
      </c>
      <c r="H44">
        <f t="shared" si="0"/>
        <v>0.46153846153846156</v>
      </c>
    </row>
    <row r="45" spans="1:8" x14ac:dyDescent="0.3">
      <c r="A45" t="s">
        <v>193</v>
      </c>
      <c r="B45" t="s">
        <v>130</v>
      </c>
      <c r="C45">
        <v>0.6</v>
      </c>
      <c r="D45">
        <v>55</v>
      </c>
      <c r="E45">
        <v>107</v>
      </c>
      <c r="F45">
        <v>24.3</v>
      </c>
      <c r="G45" t="s">
        <v>0</v>
      </c>
      <c r="H45">
        <f t="shared" si="0"/>
        <v>0.51401869158878499</v>
      </c>
    </row>
    <row r="46" spans="1:8" x14ac:dyDescent="0.3">
      <c r="A46" t="s">
        <v>153</v>
      </c>
      <c r="B46" t="s">
        <v>130</v>
      </c>
      <c r="C46">
        <v>0.6</v>
      </c>
      <c r="D46">
        <v>50</v>
      </c>
      <c r="E46">
        <v>106</v>
      </c>
      <c r="F46">
        <v>15.1</v>
      </c>
      <c r="G46" t="s">
        <v>0</v>
      </c>
      <c r="H46">
        <f t="shared" si="0"/>
        <v>0.47169811320754718</v>
      </c>
    </row>
    <row r="47" spans="1:8" x14ac:dyDescent="0.3">
      <c r="A47" t="s">
        <v>229</v>
      </c>
      <c r="B47" t="s">
        <v>130</v>
      </c>
      <c r="C47">
        <v>0.6</v>
      </c>
      <c r="D47">
        <v>58</v>
      </c>
      <c r="E47">
        <v>103</v>
      </c>
      <c r="F47">
        <v>21.4</v>
      </c>
      <c r="G47" t="s">
        <v>0</v>
      </c>
      <c r="H47">
        <f t="shared" si="0"/>
        <v>0.56310679611650483</v>
      </c>
    </row>
    <row r="48" spans="1:8" x14ac:dyDescent="0.3">
      <c r="A48" t="s">
        <v>189</v>
      </c>
      <c r="B48" t="s">
        <v>130</v>
      </c>
      <c r="C48">
        <v>0.6</v>
      </c>
      <c r="D48">
        <v>58</v>
      </c>
      <c r="E48">
        <v>100</v>
      </c>
      <c r="F48">
        <v>12</v>
      </c>
      <c r="G48" t="s">
        <v>0</v>
      </c>
      <c r="H48">
        <f t="shared" si="0"/>
        <v>0.57999999999999996</v>
      </c>
    </row>
    <row r="49" spans="1:8" x14ac:dyDescent="0.3">
      <c r="A49" t="s">
        <v>149</v>
      </c>
      <c r="B49" t="s">
        <v>130</v>
      </c>
      <c r="C49">
        <v>0.6</v>
      </c>
      <c r="D49">
        <v>58</v>
      </c>
      <c r="E49">
        <v>100</v>
      </c>
      <c r="F49">
        <v>7</v>
      </c>
      <c r="G49" t="s">
        <v>0</v>
      </c>
      <c r="H49">
        <f t="shared" si="0"/>
        <v>0.57999999999999996</v>
      </c>
    </row>
    <row r="50" spans="1:8" x14ac:dyDescent="0.3">
      <c r="A50" t="s">
        <v>225</v>
      </c>
      <c r="B50" t="s">
        <v>130</v>
      </c>
      <c r="C50">
        <v>0.6</v>
      </c>
      <c r="D50">
        <v>59</v>
      </c>
      <c r="E50">
        <v>102</v>
      </c>
      <c r="F50">
        <v>4.9000000000000004</v>
      </c>
      <c r="G50" t="s">
        <v>0</v>
      </c>
      <c r="H50">
        <f t="shared" si="0"/>
        <v>0.57843137254901966</v>
      </c>
    </row>
    <row r="51" spans="1:8" x14ac:dyDescent="0.3">
      <c r="A51" t="s">
        <v>185</v>
      </c>
      <c r="B51" t="s">
        <v>130</v>
      </c>
      <c r="C51">
        <v>0.6</v>
      </c>
      <c r="D51">
        <v>54</v>
      </c>
      <c r="E51">
        <v>103</v>
      </c>
      <c r="F51">
        <v>7.8</v>
      </c>
      <c r="G51" t="s">
        <v>0</v>
      </c>
      <c r="H51">
        <f t="shared" si="0"/>
        <v>0.52427184466019416</v>
      </c>
    </row>
    <row r="52" spans="1:8" x14ac:dyDescent="0.3">
      <c r="A52" t="s">
        <v>145</v>
      </c>
      <c r="B52" t="s">
        <v>130</v>
      </c>
      <c r="C52">
        <v>0.6</v>
      </c>
      <c r="D52">
        <v>54</v>
      </c>
      <c r="E52">
        <v>100</v>
      </c>
      <c r="F52">
        <v>7</v>
      </c>
      <c r="G52" t="s">
        <v>0</v>
      </c>
      <c r="H52">
        <f t="shared" si="0"/>
        <v>0.54</v>
      </c>
    </row>
    <row r="53" spans="1:8" x14ac:dyDescent="0.3">
      <c r="A53" t="s">
        <v>221</v>
      </c>
      <c r="B53" t="s">
        <v>130</v>
      </c>
      <c r="C53">
        <v>0.6</v>
      </c>
      <c r="D53">
        <v>53</v>
      </c>
      <c r="E53">
        <v>100</v>
      </c>
      <c r="F53">
        <v>17</v>
      </c>
      <c r="G53" t="s">
        <v>0</v>
      </c>
      <c r="H53">
        <f t="shared" si="0"/>
        <v>0.53</v>
      </c>
    </row>
    <row r="54" spans="1:8" x14ac:dyDescent="0.3">
      <c r="A54" t="s">
        <v>181</v>
      </c>
      <c r="B54" t="s">
        <v>130</v>
      </c>
      <c r="C54">
        <v>0.6</v>
      </c>
      <c r="D54">
        <v>59</v>
      </c>
      <c r="E54">
        <v>104</v>
      </c>
      <c r="F54">
        <v>9.6</v>
      </c>
      <c r="G54" t="s">
        <v>0</v>
      </c>
      <c r="H54">
        <f t="shared" si="0"/>
        <v>0.56730769230769229</v>
      </c>
    </row>
    <row r="55" spans="1:8" x14ac:dyDescent="0.3">
      <c r="A55" t="s">
        <v>141</v>
      </c>
      <c r="B55" t="s">
        <v>130</v>
      </c>
      <c r="C55">
        <v>0.6</v>
      </c>
      <c r="D55">
        <v>52</v>
      </c>
      <c r="E55">
        <v>102</v>
      </c>
      <c r="F55">
        <v>2.9</v>
      </c>
      <c r="G55" t="s">
        <v>0</v>
      </c>
      <c r="H55">
        <f t="shared" si="0"/>
        <v>0.50980392156862742</v>
      </c>
    </row>
    <row r="56" spans="1:8" x14ac:dyDescent="0.3">
      <c r="A56" t="s">
        <v>217</v>
      </c>
      <c r="B56" t="s">
        <v>130</v>
      </c>
      <c r="C56">
        <v>0.6</v>
      </c>
      <c r="D56">
        <v>53</v>
      </c>
      <c r="E56">
        <v>105</v>
      </c>
      <c r="F56">
        <v>11.4</v>
      </c>
      <c r="G56" t="s">
        <v>0</v>
      </c>
      <c r="H56">
        <f t="shared" si="0"/>
        <v>0.50476190476190474</v>
      </c>
    </row>
    <row r="57" spans="1:8" x14ac:dyDescent="0.3">
      <c r="A57" t="s">
        <v>177</v>
      </c>
      <c r="B57" t="s">
        <v>130</v>
      </c>
      <c r="C57">
        <v>0.6</v>
      </c>
      <c r="D57">
        <v>55</v>
      </c>
      <c r="E57">
        <v>106</v>
      </c>
      <c r="F57">
        <v>6.6</v>
      </c>
      <c r="G57" t="s">
        <v>0</v>
      </c>
      <c r="H57">
        <f t="shared" si="0"/>
        <v>0.51886792452830188</v>
      </c>
    </row>
    <row r="58" spans="1:8" x14ac:dyDescent="0.3">
      <c r="A58" t="s">
        <v>137</v>
      </c>
      <c r="B58" t="s">
        <v>130</v>
      </c>
      <c r="C58">
        <v>0.6</v>
      </c>
      <c r="D58">
        <v>54</v>
      </c>
      <c r="E58">
        <v>108</v>
      </c>
      <c r="F58">
        <v>1.9</v>
      </c>
      <c r="G58" t="s">
        <v>0</v>
      </c>
      <c r="H58">
        <f t="shared" si="0"/>
        <v>0.5</v>
      </c>
    </row>
    <row r="59" spans="1:8" x14ac:dyDescent="0.3">
      <c r="A59" t="s">
        <v>213</v>
      </c>
      <c r="B59" t="s">
        <v>130</v>
      </c>
      <c r="C59">
        <v>0.6</v>
      </c>
      <c r="D59">
        <v>55</v>
      </c>
      <c r="E59">
        <v>103</v>
      </c>
      <c r="F59">
        <v>4.9000000000000004</v>
      </c>
      <c r="G59" t="s">
        <v>0</v>
      </c>
      <c r="H59">
        <f t="shared" si="0"/>
        <v>0.53398058252427183</v>
      </c>
    </row>
    <row r="60" spans="1:8" x14ac:dyDescent="0.3">
      <c r="A60" t="s">
        <v>173</v>
      </c>
      <c r="B60" t="s">
        <v>130</v>
      </c>
      <c r="C60">
        <v>0.6</v>
      </c>
      <c r="D60">
        <v>57</v>
      </c>
      <c r="E60">
        <v>103</v>
      </c>
      <c r="F60">
        <v>17.5</v>
      </c>
      <c r="G60" t="s">
        <v>0</v>
      </c>
      <c r="H60">
        <f t="shared" si="0"/>
        <v>0.55339805825242716</v>
      </c>
    </row>
    <row r="61" spans="1:8" x14ac:dyDescent="0.3">
      <c r="A61" t="s">
        <v>133</v>
      </c>
      <c r="B61" t="s">
        <v>130</v>
      </c>
      <c r="C61">
        <v>0.6</v>
      </c>
      <c r="D61">
        <v>55</v>
      </c>
      <c r="E61">
        <v>100</v>
      </c>
      <c r="F61">
        <v>5</v>
      </c>
      <c r="G61" t="s">
        <v>0</v>
      </c>
      <c r="H61">
        <f t="shared" si="0"/>
        <v>0.55000000000000004</v>
      </c>
    </row>
    <row r="62" spans="1:8" x14ac:dyDescent="0.3">
      <c r="A62" t="s">
        <v>244</v>
      </c>
      <c r="B62" t="s">
        <v>130</v>
      </c>
      <c r="C62">
        <v>0.89999999999999902</v>
      </c>
      <c r="D62">
        <v>65</v>
      </c>
      <c r="E62">
        <v>102</v>
      </c>
      <c r="F62">
        <v>2</v>
      </c>
      <c r="G62" t="s">
        <v>0</v>
      </c>
      <c r="H62">
        <f t="shared" si="0"/>
        <v>0.63725490196078427</v>
      </c>
    </row>
    <row r="63" spans="1:8" x14ac:dyDescent="0.3">
      <c r="A63" t="s">
        <v>204</v>
      </c>
      <c r="B63" t="s">
        <v>130</v>
      </c>
      <c r="C63">
        <v>0.89999999999999902</v>
      </c>
      <c r="D63">
        <v>63</v>
      </c>
      <c r="E63">
        <v>102</v>
      </c>
      <c r="F63">
        <v>13.7</v>
      </c>
      <c r="G63" t="s">
        <v>0</v>
      </c>
      <c r="H63">
        <f t="shared" si="0"/>
        <v>0.61764705882352944</v>
      </c>
    </row>
    <row r="64" spans="1:8" x14ac:dyDescent="0.3">
      <c r="A64" t="s">
        <v>164</v>
      </c>
      <c r="B64" t="s">
        <v>130</v>
      </c>
      <c r="C64">
        <v>0.89999999999999902</v>
      </c>
      <c r="D64">
        <v>62</v>
      </c>
      <c r="E64">
        <v>100</v>
      </c>
      <c r="F64">
        <v>10</v>
      </c>
      <c r="G64" t="s">
        <v>0</v>
      </c>
      <c r="H64">
        <f t="shared" si="0"/>
        <v>0.62</v>
      </c>
    </row>
    <row r="65" spans="1:8" x14ac:dyDescent="0.3">
      <c r="A65" t="s">
        <v>248</v>
      </c>
      <c r="B65" t="s">
        <v>130</v>
      </c>
      <c r="C65">
        <v>0.89999999999999902</v>
      </c>
      <c r="D65">
        <v>67</v>
      </c>
      <c r="E65">
        <v>102</v>
      </c>
      <c r="F65">
        <v>2.9</v>
      </c>
      <c r="G65" t="s">
        <v>0</v>
      </c>
      <c r="H65">
        <f t="shared" si="0"/>
        <v>0.65686274509803921</v>
      </c>
    </row>
    <row r="66" spans="1:8" x14ac:dyDescent="0.3">
      <c r="A66" t="s">
        <v>208</v>
      </c>
      <c r="B66" t="s">
        <v>130</v>
      </c>
      <c r="C66">
        <v>0.89999999999999902</v>
      </c>
      <c r="D66">
        <v>59</v>
      </c>
      <c r="E66">
        <v>101</v>
      </c>
      <c r="F66">
        <v>0</v>
      </c>
      <c r="G66" t="s">
        <v>0</v>
      </c>
      <c r="H66">
        <f t="shared" si="0"/>
        <v>0.58415841584158412</v>
      </c>
    </row>
    <row r="67" spans="1:8" x14ac:dyDescent="0.3">
      <c r="A67" t="s">
        <v>168</v>
      </c>
      <c r="B67" t="s">
        <v>130</v>
      </c>
      <c r="C67">
        <v>0.89999999999999902</v>
      </c>
      <c r="D67">
        <v>66</v>
      </c>
      <c r="E67">
        <v>103</v>
      </c>
      <c r="F67">
        <v>11.7</v>
      </c>
      <c r="G67" t="s">
        <v>0</v>
      </c>
      <c r="H67">
        <f t="shared" ref="H67:H121" si="1">D67/E67</f>
        <v>0.64077669902912626</v>
      </c>
    </row>
    <row r="68" spans="1:8" x14ac:dyDescent="0.3">
      <c r="A68" t="s">
        <v>240</v>
      </c>
      <c r="B68" t="s">
        <v>130</v>
      </c>
      <c r="C68">
        <v>0.89999999999999902</v>
      </c>
      <c r="D68">
        <v>60</v>
      </c>
      <c r="E68">
        <v>100</v>
      </c>
      <c r="F68">
        <v>12</v>
      </c>
      <c r="G68" t="s">
        <v>0</v>
      </c>
      <c r="H68">
        <f t="shared" si="1"/>
        <v>0.6</v>
      </c>
    </row>
    <row r="69" spans="1:8" x14ac:dyDescent="0.3">
      <c r="A69" t="s">
        <v>200</v>
      </c>
      <c r="B69" t="s">
        <v>130</v>
      </c>
      <c r="C69">
        <v>0.89999999999999902</v>
      </c>
      <c r="D69">
        <v>63</v>
      </c>
      <c r="E69">
        <v>101</v>
      </c>
      <c r="F69">
        <v>11.9</v>
      </c>
      <c r="G69" t="s">
        <v>0</v>
      </c>
      <c r="H69">
        <f t="shared" si="1"/>
        <v>0.62376237623762376</v>
      </c>
    </row>
    <row r="70" spans="1:8" x14ac:dyDescent="0.3">
      <c r="A70" t="s">
        <v>160</v>
      </c>
      <c r="B70" t="s">
        <v>130</v>
      </c>
      <c r="C70">
        <v>0.89999999999999902</v>
      </c>
      <c r="D70">
        <v>68</v>
      </c>
      <c r="E70">
        <v>100</v>
      </c>
      <c r="F70">
        <v>7</v>
      </c>
      <c r="G70" t="s">
        <v>0</v>
      </c>
      <c r="H70">
        <f t="shared" si="1"/>
        <v>0.68</v>
      </c>
    </row>
    <row r="71" spans="1:8" x14ac:dyDescent="0.3">
      <c r="A71" t="s">
        <v>236</v>
      </c>
      <c r="B71" t="s">
        <v>130</v>
      </c>
      <c r="C71">
        <v>0.89999999999999902</v>
      </c>
      <c r="D71">
        <v>63</v>
      </c>
      <c r="E71">
        <v>101</v>
      </c>
      <c r="F71">
        <v>5.9</v>
      </c>
      <c r="G71" t="s">
        <v>0</v>
      </c>
      <c r="H71">
        <f t="shared" si="1"/>
        <v>0.62376237623762376</v>
      </c>
    </row>
    <row r="72" spans="1:8" x14ac:dyDescent="0.3">
      <c r="A72" t="s">
        <v>196</v>
      </c>
      <c r="B72" t="s">
        <v>130</v>
      </c>
      <c r="C72">
        <v>0.89999999999999902</v>
      </c>
      <c r="D72">
        <v>65</v>
      </c>
      <c r="E72">
        <v>102</v>
      </c>
      <c r="F72">
        <v>6.9</v>
      </c>
      <c r="G72" t="s">
        <v>0</v>
      </c>
      <c r="H72">
        <f t="shared" si="1"/>
        <v>0.63725490196078427</v>
      </c>
    </row>
    <row r="73" spans="1:8" x14ac:dyDescent="0.3">
      <c r="A73" t="s">
        <v>156</v>
      </c>
      <c r="B73" t="s">
        <v>130</v>
      </c>
      <c r="C73">
        <v>0.89999999999999902</v>
      </c>
      <c r="D73">
        <v>64</v>
      </c>
      <c r="E73">
        <v>100</v>
      </c>
      <c r="F73">
        <v>25</v>
      </c>
      <c r="G73" t="s">
        <v>0</v>
      </c>
      <c r="H73">
        <f t="shared" si="1"/>
        <v>0.64</v>
      </c>
    </row>
    <row r="74" spans="1:8" x14ac:dyDescent="0.3">
      <c r="A74" t="s">
        <v>232</v>
      </c>
      <c r="B74" t="s">
        <v>130</v>
      </c>
      <c r="C74">
        <v>0.89999999999999902</v>
      </c>
      <c r="D74">
        <v>67</v>
      </c>
      <c r="E74">
        <v>104</v>
      </c>
      <c r="F74">
        <v>6.7</v>
      </c>
      <c r="G74" t="s">
        <v>0</v>
      </c>
      <c r="H74">
        <f t="shared" si="1"/>
        <v>0.64423076923076927</v>
      </c>
    </row>
    <row r="75" spans="1:8" x14ac:dyDescent="0.3">
      <c r="A75" t="s">
        <v>192</v>
      </c>
      <c r="B75" t="s">
        <v>130</v>
      </c>
      <c r="C75">
        <v>0.89999999999999902</v>
      </c>
      <c r="D75">
        <v>65</v>
      </c>
      <c r="E75">
        <v>107</v>
      </c>
      <c r="F75">
        <v>9.3000000000000007</v>
      </c>
      <c r="G75" t="s">
        <v>0</v>
      </c>
      <c r="H75">
        <f t="shared" si="1"/>
        <v>0.60747663551401865</v>
      </c>
    </row>
    <row r="76" spans="1:8" x14ac:dyDescent="0.3">
      <c r="A76" t="s">
        <v>152</v>
      </c>
      <c r="B76" t="s">
        <v>130</v>
      </c>
      <c r="C76">
        <v>0.89999999999999902</v>
      </c>
      <c r="D76">
        <v>65</v>
      </c>
      <c r="E76">
        <v>106</v>
      </c>
      <c r="F76">
        <v>15.1</v>
      </c>
      <c r="G76" t="s">
        <v>0</v>
      </c>
      <c r="H76">
        <f t="shared" si="1"/>
        <v>0.6132075471698113</v>
      </c>
    </row>
    <row r="77" spans="1:8" x14ac:dyDescent="0.3">
      <c r="A77" t="s">
        <v>228</v>
      </c>
      <c r="B77" t="s">
        <v>130</v>
      </c>
      <c r="C77">
        <v>0.89999999999999902</v>
      </c>
      <c r="D77">
        <v>63</v>
      </c>
      <c r="E77">
        <v>103</v>
      </c>
      <c r="F77">
        <v>15.5</v>
      </c>
      <c r="G77" t="s">
        <v>0</v>
      </c>
      <c r="H77">
        <f t="shared" si="1"/>
        <v>0.61165048543689315</v>
      </c>
    </row>
    <row r="78" spans="1:8" x14ac:dyDescent="0.3">
      <c r="A78" t="s">
        <v>188</v>
      </c>
      <c r="B78" t="s">
        <v>130</v>
      </c>
      <c r="C78">
        <v>0.89999999999999902</v>
      </c>
      <c r="D78">
        <v>66</v>
      </c>
      <c r="E78">
        <v>100</v>
      </c>
      <c r="F78">
        <v>3</v>
      </c>
      <c r="G78" t="s">
        <v>0</v>
      </c>
      <c r="H78">
        <f t="shared" si="1"/>
        <v>0.66</v>
      </c>
    </row>
    <row r="79" spans="1:8" x14ac:dyDescent="0.3">
      <c r="A79" t="s">
        <v>148</v>
      </c>
      <c r="B79" t="s">
        <v>130</v>
      </c>
      <c r="C79">
        <v>0.89999999999999902</v>
      </c>
      <c r="D79">
        <v>66</v>
      </c>
      <c r="E79">
        <v>100</v>
      </c>
      <c r="F79">
        <v>9</v>
      </c>
      <c r="G79" t="s">
        <v>0</v>
      </c>
      <c r="H79">
        <f t="shared" si="1"/>
        <v>0.66</v>
      </c>
    </row>
    <row r="80" spans="1:8" x14ac:dyDescent="0.3">
      <c r="A80" t="s">
        <v>224</v>
      </c>
      <c r="B80" t="s">
        <v>130</v>
      </c>
      <c r="C80">
        <v>0.89999999999999902</v>
      </c>
      <c r="D80">
        <v>63</v>
      </c>
      <c r="E80">
        <v>102</v>
      </c>
      <c r="F80">
        <v>7.8</v>
      </c>
      <c r="G80" t="s">
        <v>0</v>
      </c>
      <c r="H80">
        <f t="shared" si="1"/>
        <v>0.61764705882352944</v>
      </c>
    </row>
    <row r="81" spans="1:8" x14ac:dyDescent="0.3">
      <c r="A81" t="s">
        <v>184</v>
      </c>
      <c r="B81" t="s">
        <v>130</v>
      </c>
      <c r="C81">
        <v>0.89999999999999902</v>
      </c>
      <c r="D81">
        <v>65</v>
      </c>
      <c r="E81">
        <v>103</v>
      </c>
      <c r="F81">
        <v>1</v>
      </c>
      <c r="G81" t="s">
        <v>0</v>
      </c>
      <c r="H81">
        <f t="shared" si="1"/>
        <v>0.6310679611650486</v>
      </c>
    </row>
    <row r="82" spans="1:8" x14ac:dyDescent="0.3">
      <c r="A82" t="s">
        <v>144</v>
      </c>
      <c r="B82" t="s">
        <v>130</v>
      </c>
      <c r="C82">
        <v>0.89999999999999902</v>
      </c>
      <c r="D82">
        <v>58</v>
      </c>
      <c r="E82">
        <v>100</v>
      </c>
      <c r="F82">
        <v>2</v>
      </c>
      <c r="G82" t="s">
        <v>0</v>
      </c>
      <c r="H82">
        <f t="shared" si="1"/>
        <v>0.57999999999999996</v>
      </c>
    </row>
    <row r="83" spans="1:8" x14ac:dyDescent="0.3">
      <c r="A83" t="s">
        <v>220</v>
      </c>
      <c r="B83" t="s">
        <v>130</v>
      </c>
      <c r="C83">
        <v>0.89999999999999902</v>
      </c>
      <c r="D83">
        <v>68</v>
      </c>
      <c r="E83">
        <v>100</v>
      </c>
      <c r="F83">
        <v>13</v>
      </c>
      <c r="G83" t="s">
        <v>0</v>
      </c>
      <c r="H83">
        <f t="shared" si="1"/>
        <v>0.68</v>
      </c>
    </row>
    <row r="84" spans="1:8" x14ac:dyDescent="0.3">
      <c r="A84" t="s">
        <v>180</v>
      </c>
      <c r="B84" t="s">
        <v>130</v>
      </c>
      <c r="C84">
        <v>0.89999999999999902</v>
      </c>
      <c r="D84">
        <v>66</v>
      </c>
      <c r="E84">
        <v>104</v>
      </c>
      <c r="F84">
        <v>11.5</v>
      </c>
      <c r="G84" t="s">
        <v>0</v>
      </c>
      <c r="H84">
        <f t="shared" si="1"/>
        <v>0.63461538461538458</v>
      </c>
    </row>
    <row r="85" spans="1:8" x14ac:dyDescent="0.3">
      <c r="A85" t="s">
        <v>140</v>
      </c>
      <c r="B85" t="s">
        <v>130</v>
      </c>
      <c r="C85">
        <v>0.89999999999999902</v>
      </c>
      <c r="D85">
        <v>68</v>
      </c>
      <c r="E85">
        <v>102</v>
      </c>
      <c r="F85">
        <v>9.8000000000000007</v>
      </c>
      <c r="G85" t="s">
        <v>0</v>
      </c>
      <c r="H85">
        <f t="shared" si="1"/>
        <v>0.66666666666666663</v>
      </c>
    </row>
    <row r="86" spans="1:8" x14ac:dyDescent="0.3">
      <c r="A86" t="s">
        <v>216</v>
      </c>
      <c r="B86" t="s">
        <v>130</v>
      </c>
      <c r="C86">
        <v>0.89999999999999902</v>
      </c>
      <c r="D86">
        <v>67</v>
      </c>
      <c r="E86">
        <v>105</v>
      </c>
      <c r="F86">
        <v>8.6</v>
      </c>
      <c r="G86" t="s">
        <v>0</v>
      </c>
      <c r="H86">
        <f t="shared" si="1"/>
        <v>0.63809523809523805</v>
      </c>
    </row>
    <row r="87" spans="1:8" x14ac:dyDescent="0.3">
      <c r="A87" t="s">
        <v>176</v>
      </c>
      <c r="B87" t="s">
        <v>130</v>
      </c>
      <c r="C87">
        <v>0.89999999999999902</v>
      </c>
      <c r="D87">
        <v>63</v>
      </c>
      <c r="E87">
        <v>106</v>
      </c>
      <c r="F87">
        <v>8.5</v>
      </c>
      <c r="G87" t="s">
        <v>0</v>
      </c>
      <c r="H87">
        <f t="shared" si="1"/>
        <v>0.59433962264150941</v>
      </c>
    </row>
    <row r="88" spans="1:8" x14ac:dyDescent="0.3">
      <c r="A88" t="s">
        <v>136</v>
      </c>
      <c r="B88" t="s">
        <v>130</v>
      </c>
      <c r="C88">
        <v>0.89999999999999902</v>
      </c>
      <c r="D88">
        <v>63</v>
      </c>
      <c r="E88">
        <v>108</v>
      </c>
      <c r="F88">
        <v>13.9</v>
      </c>
      <c r="G88" t="s">
        <v>0</v>
      </c>
      <c r="H88">
        <f t="shared" si="1"/>
        <v>0.58333333333333337</v>
      </c>
    </row>
    <row r="89" spans="1:8" x14ac:dyDescent="0.3">
      <c r="A89" t="s">
        <v>212</v>
      </c>
      <c r="B89" t="s">
        <v>130</v>
      </c>
      <c r="C89">
        <v>0.89999999999999902</v>
      </c>
      <c r="D89">
        <v>66</v>
      </c>
      <c r="E89">
        <v>103</v>
      </c>
      <c r="F89">
        <v>2.9</v>
      </c>
      <c r="G89" t="s">
        <v>0</v>
      </c>
      <c r="H89">
        <f t="shared" si="1"/>
        <v>0.64077669902912626</v>
      </c>
    </row>
    <row r="90" spans="1:8" x14ac:dyDescent="0.3">
      <c r="A90" t="s">
        <v>172</v>
      </c>
      <c r="B90" t="s">
        <v>130</v>
      </c>
      <c r="C90">
        <v>0.89999999999999902</v>
      </c>
      <c r="D90">
        <v>63</v>
      </c>
      <c r="E90">
        <v>103</v>
      </c>
      <c r="F90">
        <v>11.7</v>
      </c>
      <c r="G90" t="s">
        <v>0</v>
      </c>
      <c r="H90">
        <f t="shared" si="1"/>
        <v>0.61165048543689315</v>
      </c>
    </row>
    <row r="91" spans="1:8" x14ac:dyDescent="0.3">
      <c r="A91" t="s">
        <v>132</v>
      </c>
      <c r="B91" t="s">
        <v>130</v>
      </c>
      <c r="C91">
        <v>0.89999999999999902</v>
      </c>
      <c r="D91">
        <v>64</v>
      </c>
      <c r="E91">
        <v>100</v>
      </c>
      <c r="F91">
        <v>4</v>
      </c>
      <c r="G91" t="s">
        <v>0</v>
      </c>
      <c r="H91">
        <f t="shared" si="1"/>
        <v>0.64</v>
      </c>
    </row>
    <row r="92" spans="1:8" x14ac:dyDescent="0.3">
      <c r="A92" t="s">
        <v>243</v>
      </c>
      <c r="B92" t="s">
        <v>130</v>
      </c>
      <c r="C92">
        <v>1.2</v>
      </c>
      <c r="D92">
        <v>69</v>
      </c>
      <c r="E92">
        <v>102</v>
      </c>
      <c r="F92">
        <v>14.7</v>
      </c>
      <c r="G92" t="s">
        <v>0</v>
      </c>
      <c r="H92">
        <f t="shared" si="1"/>
        <v>0.67647058823529416</v>
      </c>
    </row>
    <row r="93" spans="1:8" x14ac:dyDescent="0.3">
      <c r="A93" t="s">
        <v>203</v>
      </c>
      <c r="B93" t="s">
        <v>130</v>
      </c>
      <c r="C93">
        <v>1.2</v>
      </c>
      <c r="D93">
        <v>66</v>
      </c>
      <c r="E93">
        <v>102</v>
      </c>
      <c r="F93">
        <v>19.600000000000001</v>
      </c>
      <c r="G93" t="s">
        <v>0</v>
      </c>
      <c r="H93">
        <f t="shared" si="1"/>
        <v>0.6470588235294118</v>
      </c>
    </row>
    <row r="94" spans="1:8" x14ac:dyDescent="0.3">
      <c r="A94" t="s">
        <v>163</v>
      </c>
      <c r="B94" t="s">
        <v>130</v>
      </c>
      <c r="C94">
        <v>1.2</v>
      </c>
      <c r="D94">
        <v>69</v>
      </c>
      <c r="E94">
        <v>100</v>
      </c>
      <c r="F94">
        <v>8</v>
      </c>
      <c r="G94" t="s">
        <v>0</v>
      </c>
      <c r="H94">
        <f t="shared" si="1"/>
        <v>0.69</v>
      </c>
    </row>
    <row r="95" spans="1:8" x14ac:dyDescent="0.3">
      <c r="A95" t="s">
        <v>247</v>
      </c>
      <c r="B95" t="s">
        <v>130</v>
      </c>
      <c r="C95">
        <v>1.2</v>
      </c>
      <c r="D95">
        <v>73</v>
      </c>
      <c r="E95">
        <v>102</v>
      </c>
      <c r="F95">
        <v>3.9</v>
      </c>
      <c r="G95" t="s">
        <v>0</v>
      </c>
      <c r="H95">
        <f t="shared" si="1"/>
        <v>0.71568627450980393</v>
      </c>
    </row>
    <row r="96" spans="1:8" x14ac:dyDescent="0.3">
      <c r="A96" t="s">
        <v>207</v>
      </c>
      <c r="B96" t="s">
        <v>130</v>
      </c>
      <c r="C96">
        <v>1.2</v>
      </c>
      <c r="D96">
        <v>70</v>
      </c>
      <c r="E96">
        <v>101</v>
      </c>
      <c r="F96">
        <v>6.9</v>
      </c>
      <c r="G96" t="s">
        <v>0</v>
      </c>
      <c r="H96">
        <f t="shared" si="1"/>
        <v>0.69306930693069302</v>
      </c>
    </row>
    <row r="97" spans="1:8" x14ac:dyDescent="0.3">
      <c r="A97" t="s">
        <v>167</v>
      </c>
      <c r="B97" t="s">
        <v>130</v>
      </c>
      <c r="C97">
        <v>1.2</v>
      </c>
      <c r="D97">
        <v>75</v>
      </c>
      <c r="E97">
        <v>103</v>
      </c>
      <c r="F97">
        <v>7.8</v>
      </c>
      <c r="G97" t="s">
        <v>0</v>
      </c>
      <c r="H97">
        <f t="shared" si="1"/>
        <v>0.72815533980582525</v>
      </c>
    </row>
    <row r="98" spans="1:8" x14ac:dyDescent="0.3">
      <c r="A98" t="s">
        <v>239</v>
      </c>
      <c r="B98" t="s">
        <v>130</v>
      </c>
      <c r="C98">
        <v>1.2</v>
      </c>
      <c r="D98">
        <v>72</v>
      </c>
      <c r="E98">
        <v>100</v>
      </c>
      <c r="F98">
        <v>6</v>
      </c>
      <c r="G98" t="s">
        <v>0</v>
      </c>
      <c r="H98">
        <f t="shared" si="1"/>
        <v>0.72</v>
      </c>
    </row>
    <row r="99" spans="1:8" x14ac:dyDescent="0.3">
      <c r="A99" t="s">
        <v>199</v>
      </c>
      <c r="B99" t="s">
        <v>130</v>
      </c>
      <c r="C99">
        <v>1.2</v>
      </c>
      <c r="D99">
        <v>67</v>
      </c>
      <c r="E99">
        <v>101</v>
      </c>
      <c r="F99">
        <v>9.9</v>
      </c>
      <c r="G99" t="s">
        <v>0</v>
      </c>
      <c r="H99">
        <f t="shared" si="1"/>
        <v>0.6633663366336634</v>
      </c>
    </row>
    <row r="100" spans="1:8" x14ac:dyDescent="0.3">
      <c r="A100" t="s">
        <v>159</v>
      </c>
      <c r="B100" t="s">
        <v>130</v>
      </c>
      <c r="C100">
        <v>1.2</v>
      </c>
      <c r="D100">
        <v>66</v>
      </c>
      <c r="E100">
        <v>100</v>
      </c>
      <c r="F100">
        <v>5</v>
      </c>
      <c r="G100" t="s">
        <v>0</v>
      </c>
      <c r="H100">
        <f t="shared" si="1"/>
        <v>0.66</v>
      </c>
    </row>
    <row r="101" spans="1:8" x14ac:dyDescent="0.3">
      <c r="A101" t="s">
        <v>235</v>
      </c>
      <c r="B101" t="s">
        <v>130</v>
      </c>
      <c r="C101">
        <v>1.2</v>
      </c>
      <c r="D101">
        <v>69</v>
      </c>
      <c r="E101">
        <v>101</v>
      </c>
      <c r="F101">
        <v>8.9</v>
      </c>
      <c r="G101" t="s">
        <v>0</v>
      </c>
      <c r="H101">
        <f t="shared" si="1"/>
        <v>0.68316831683168322</v>
      </c>
    </row>
    <row r="102" spans="1:8" x14ac:dyDescent="0.3">
      <c r="A102" t="s">
        <v>195</v>
      </c>
      <c r="B102" t="s">
        <v>130</v>
      </c>
      <c r="C102">
        <v>1.2</v>
      </c>
      <c r="D102">
        <v>73</v>
      </c>
      <c r="E102">
        <v>102</v>
      </c>
      <c r="F102">
        <v>7.8</v>
      </c>
      <c r="G102" t="s">
        <v>0</v>
      </c>
      <c r="H102">
        <f t="shared" si="1"/>
        <v>0.71568627450980393</v>
      </c>
    </row>
    <row r="103" spans="1:8" x14ac:dyDescent="0.3">
      <c r="A103" t="s">
        <v>155</v>
      </c>
      <c r="B103" t="s">
        <v>130</v>
      </c>
      <c r="C103">
        <v>1.2</v>
      </c>
      <c r="D103">
        <v>72</v>
      </c>
      <c r="E103">
        <v>100</v>
      </c>
      <c r="F103">
        <v>9</v>
      </c>
      <c r="G103" t="s">
        <v>0</v>
      </c>
      <c r="H103">
        <f t="shared" si="1"/>
        <v>0.72</v>
      </c>
    </row>
    <row r="104" spans="1:8" x14ac:dyDescent="0.3">
      <c r="A104" t="s">
        <v>231</v>
      </c>
      <c r="B104" t="s">
        <v>130</v>
      </c>
      <c r="C104">
        <v>1.2</v>
      </c>
      <c r="D104">
        <v>72</v>
      </c>
      <c r="E104">
        <v>104</v>
      </c>
      <c r="F104">
        <v>11.5</v>
      </c>
      <c r="G104" t="s">
        <v>0</v>
      </c>
      <c r="H104">
        <f t="shared" si="1"/>
        <v>0.69230769230769229</v>
      </c>
    </row>
    <row r="105" spans="1:8" x14ac:dyDescent="0.3">
      <c r="A105" t="s">
        <v>191</v>
      </c>
      <c r="B105" t="s">
        <v>130</v>
      </c>
      <c r="C105">
        <v>1.2</v>
      </c>
      <c r="D105">
        <v>72</v>
      </c>
      <c r="E105">
        <v>107</v>
      </c>
      <c r="F105">
        <v>23.4</v>
      </c>
      <c r="G105" t="s">
        <v>0</v>
      </c>
      <c r="H105">
        <f t="shared" si="1"/>
        <v>0.67289719626168221</v>
      </c>
    </row>
    <row r="106" spans="1:8" x14ac:dyDescent="0.3">
      <c r="A106" t="s">
        <v>151</v>
      </c>
      <c r="B106" t="s">
        <v>130</v>
      </c>
      <c r="C106">
        <v>1.2</v>
      </c>
      <c r="D106">
        <v>79</v>
      </c>
      <c r="E106">
        <v>106</v>
      </c>
      <c r="F106">
        <v>10.4</v>
      </c>
      <c r="G106" t="s">
        <v>0</v>
      </c>
      <c r="H106">
        <f t="shared" si="1"/>
        <v>0.74528301886792447</v>
      </c>
    </row>
    <row r="107" spans="1:8" x14ac:dyDescent="0.3">
      <c r="A107" t="s">
        <v>227</v>
      </c>
      <c r="B107" t="s">
        <v>130</v>
      </c>
      <c r="C107">
        <v>1.2</v>
      </c>
      <c r="D107">
        <v>74</v>
      </c>
      <c r="E107">
        <v>103</v>
      </c>
      <c r="F107">
        <v>15.5</v>
      </c>
      <c r="G107" t="s">
        <v>0</v>
      </c>
      <c r="H107">
        <f t="shared" si="1"/>
        <v>0.71844660194174759</v>
      </c>
    </row>
    <row r="108" spans="1:8" x14ac:dyDescent="0.3">
      <c r="A108" t="s">
        <v>187</v>
      </c>
      <c r="B108" t="s">
        <v>130</v>
      </c>
      <c r="C108">
        <v>1.2</v>
      </c>
      <c r="D108">
        <v>74</v>
      </c>
      <c r="E108">
        <v>100</v>
      </c>
      <c r="F108">
        <v>9</v>
      </c>
      <c r="G108" t="s">
        <v>0</v>
      </c>
      <c r="H108">
        <f t="shared" si="1"/>
        <v>0.74</v>
      </c>
    </row>
    <row r="109" spans="1:8" x14ac:dyDescent="0.3">
      <c r="A109" t="s">
        <v>147</v>
      </c>
      <c r="B109" t="s">
        <v>130</v>
      </c>
      <c r="C109">
        <v>1.2</v>
      </c>
      <c r="D109">
        <v>76</v>
      </c>
      <c r="E109">
        <v>100</v>
      </c>
      <c r="F109">
        <v>6</v>
      </c>
      <c r="G109" t="s">
        <v>0</v>
      </c>
      <c r="H109">
        <f t="shared" si="1"/>
        <v>0.76</v>
      </c>
    </row>
    <row r="110" spans="1:8" x14ac:dyDescent="0.3">
      <c r="A110" t="s">
        <v>223</v>
      </c>
      <c r="B110" t="s">
        <v>130</v>
      </c>
      <c r="C110">
        <v>1.2</v>
      </c>
      <c r="D110">
        <v>67</v>
      </c>
      <c r="E110">
        <v>102</v>
      </c>
      <c r="F110">
        <v>2</v>
      </c>
      <c r="G110" t="s">
        <v>0</v>
      </c>
      <c r="H110">
        <f t="shared" si="1"/>
        <v>0.65686274509803921</v>
      </c>
    </row>
    <row r="111" spans="1:8" x14ac:dyDescent="0.3">
      <c r="A111" t="s">
        <v>183</v>
      </c>
      <c r="B111" t="s">
        <v>130</v>
      </c>
      <c r="C111">
        <v>1.2</v>
      </c>
      <c r="D111">
        <v>76</v>
      </c>
      <c r="E111">
        <v>103</v>
      </c>
      <c r="F111">
        <v>8.6999999999999993</v>
      </c>
      <c r="G111" t="s">
        <v>0</v>
      </c>
      <c r="H111">
        <f t="shared" si="1"/>
        <v>0.73786407766990292</v>
      </c>
    </row>
    <row r="112" spans="1:8" x14ac:dyDescent="0.3">
      <c r="A112" t="s">
        <v>143</v>
      </c>
      <c r="B112" t="s">
        <v>130</v>
      </c>
      <c r="C112">
        <v>1.2</v>
      </c>
      <c r="D112">
        <v>70</v>
      </c>
      <c r="E112">
        <v>100</v>
      </c>
      <c r="F112">
        <v>4</v>
      </c>
      <c r="G112" t="s">
        <v>0</v>
      </c>
      <c r="H112">
        <f t="shared" si="1"/>
        <v>0.7</v>
      </c>
    </row>
    <row r="113" spans="1:8" x14ac:dyDescent="0.3">
      <c r="A113" t="s">
        <v>219</v>
      </c>
      <c r="B113" t="s">
        <v>130</v>
      </c>
      <c r="C113">
        <v>1.2</v>
      </c>
      <c r="D113">
        <v>66</v>
      </c>
      <c r="E113">
        <v>100</v>
      </c>
      <c r="F113">
        <v>15</v>
      </c>
      <c r="G113" t="s">
        <v>0</v>
      </c>
      <c r="H113">
        <f t="shared" si="1"/>
        <v>0.66</v>
      </c>
    </row>
    <row r="114" spans="1:8" x14ac:dyDescent="0.3">
      <c r="A114" t="s">
        <v>179</v>
      </c>
      <c r="B114" t="s">
        <v>130</v>
      </c>
      <c r="C114">
        <v>1.2</v>
      </c>
      <c r="D114">
        <v>66</v>
      </c>
      <c r="E114">
        <v>104</v>
      </c>
      <c r="F114">
        <v>9.6</v>
      </c>
      <c r="G114" t="s">
        <v>0</v>
      </c>
      <c r="H114">
        <f t="shared" si="1"/>
        <v>0.63461538461538458</v>
      </c>
    </row>
    <row r="115" spans="1:8" x14ac:dyDescent="0.3">
      <c r="A115" t="s">
        <v>139</v>
      </c>
      <c r="B115" t="s">
        <v>130</v>
      </c>
      <c r="C115">
        <v>1.2</v>
      </c>
      <c r="D115">
        <v>69</v>
      </c>
      <c r="E115">
        <v>102</v>
      </c>
      <c r="F115">
        <v>4.9000000000000004</v>
      </c>
      <c r="G115" t="s">
        <v>0</v>
      </c>
      <c r="H115">
        <f t="shared" si="1"/>
        <v>0.67647058823529416</v>
      </c>
    </row>
    <row r="116" spans="1:8" x14ac:dyDescent="0.3">
      <c r="A116" t="s">
        <v>215</v>
      </c>
      <c r="B116" t="s">
        <v>130</v>
      </c>
      <c r="C116">
        <v>1.2</v>
      </c>
      <c r="D116">
        <v>71</v>
      </c>
      <c r="E116">
        <v>105</v>
      </c>
      <c r="F116">
        <v>3.8</v>
      </c>
      <c r="G116" t="s">
        <v>0</v>
      </c>
      <c r="H116">
        <f t="shared" si="1"/>
        <v>0.67619047619047623</v>
      </c>
    </row>
    <row r="117" spans="1:8" x14ac:dyDescent="0.3">
      <c r="A117" t="s">
        <v>175</v>
      </c>
      <c r="B117" t="s">
        <v>130</v>
      </c>
      <c r="C117">
        <v>1.2</v>
      </c>
      <c r="D117">
        <v>68</v>
      </c>
      <c r="E117">
        <v>106</v>
      </c>
      <c r="F117">
        <v>10.4</v>
      </c>
      <c r="G117" t="s">
        <v>0</v>
      </c>
      <c r="H117">
        <f t="shared" si="1"/>
        <v>0.64150943396226412</v>
      </c>
    </row>
    <row r="118" spans="1:8" x14ac:dyDescent="0.3">
      <c r="A118" t="s">
        <v>135</v>
      </c>
      <c r="B118" t="s">
        <v>130</v>
      </c>
      <c r="C118">
        <v>1.2</v>
      </c>
      <c r="D118">
        <v>75</v>
      </c>
      <c r="E118">
        <v>108</v>
      </c>
      <c r="F118">
        <v>5.6</v>
      </c>
      <c r="G118" t="s">
        <v>0</v>
      </c>
      <c r="H118">
        <f t="shared" si="1"/>
        <v>0.69444444444444442</v>
      </c>
    </row>
    <row r="119" spans="1:8" x14ac:dyDescent="0.3">
      <c r="A119" t="s">
        <v>211</v>
      </c>
      <c r="B119" t="s">
        <v>130</v>
      </c>
      <c r="C119">
        <v>1.2</v>
      </c>
      <c r="D119">
        <v>78</v>
      </c>
      <c r="E119">
        <v>103</v>
      </c>
      <c r="F119">
        <v>1.9</v>
      </c>
      <c r="G119" t="s">
        <v>0</v>
      </c>
      <c r="H119">
        <f t="shared" si="1"/>
        <v>0.75728155339805825</v>
      </c>
    </row>
    <row r="120" spans="1:8" x14ac:dyDescent="0.3">
      <c r="A120" t="s">
        <v>171</v>
      </c>
      <c r="B120" t="s">
        <v>130</v>
      </c>
      <c r="C120">
        <v>1.2</v>
      </c>
      <c r="D120">
        <v>74</v>
      </c>
      <c r="E120">
        <v>103</v>
      </c>
      <c r="F120">
        <v>4.9000000000000004</v>
      </c>
      <c r="G120" t="s">
        <v>0</v>
      </c>
      <c r="H120">
        <f t="shared" si="1"/>
        <v>0.71844660194174759</v>
      </c>
    </row>
    <row r="121" spans="1:8" x14ac:dyDescent="0.3">
      <c r="A121" t="s">
        <v>131</v>
      </c>
      <c r="B121" t="s">
        <v>130</v>
      </c>
      <c r="C121">
        <v>1.2</v>
      </c>
      <c r="D121">
        <v>68</v>
      </c>
      <c r="E121">
        <v>100</v>
      </c>
      <c r="F121">
        <v>6</v>
      </c>
      <c r="G121" t="s">
        <v>0</v>
      </c>
      <c r="H121">
        <f t="shared" si="1"/>
        <v>0.68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19E6-29C9-4E3D-BFF5-4B275E64AC35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129</v>
      </c>
      <c r="B1" t="s">
        <v>128</v>
      </c>
      <c r="C1" t="s">
        <v>127</v>
      </c>
      <c r="D1" t="s">
        <v>126</v>
      </c>
      <c r="E1" t="s">
        <v>125</v>
      </c>
      <c r="F1" t="s">
        <v>124</v>
      </c>
      <c r="G1" t="s">
        <v>123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118</v>
      </c>
      <c r="B2" t="s">
        <v>1</v>
      </c>
      <c r="C2">
        <v>2</v>
      </c>
      <c r="D2">
        <v>43</v>
      </c>
      <c r="E2">
        <v>250</v>
      </c>
      <c r="F2">
        <v>64.8</v>
      </c>
      <c r="G2" t="s">
        <v>0</v>
      </c>
      <c r="H2">
        <f>D2/E2</f>
        <v>0.17199999999999999</v>
      </c>
      <c r="J2" t="s">
        <v>1221</v>
      </c>
      <c r="K2">
        <f>AVERAGE(F2:F31)</f>
        <v>79.460000000000008</v>
      </c>
      <c r="L2">
        <f>MIN(F2:F31)</f>
        <v>45</v>
      </c>
      <c r="M2">
        <f>MAX(F2:F31)</f>
        <v>97.6</v>
      </c>
      <c r="N2">
        <f>AVERAGE(H2:H31)</f>
        <v>0.1656496110547595</v>
      </c>
    </row>
    <row r="3" spans="1:14" x14ac:dyDescent="0.3">
      <c r="A3" t="s">
        <v>78</v>
      </c>
      <c r="B3" t="s">
        <v>1</v>
      </c>
      <c r="C3">
        <v>2</v>
      </c>
      <c r="D3">
        <v>43</v>
      </c>
      <c r="E3">
        <v>253</v>
      </c>
      <c r="F3">
        <v>70.400000000000006</v>
      </c>
      <c r="G3" t="s">
        <v>0</v>
      </c>
      <c r="H3">
        <f t="shared" ref="H3:H66" si="0">D3/E3</f>
        <v>0.16996047430830039</v>
      </c>
      <c r="J3" t="s">
        <v>1222</v>
      </c>
      <c r="K3">
        <f>AVERAGE(F32:F61)</f>
        <v>49.896666666666668</v>
      </c>
      <c r="L3">
        <f>MIN(F32:F61)</f>
        <v>17.899999999999999</v>
      </c>
      <c r="M3">
        <f>MAX(F32:F61)</f>
        <v>73.3</v>
      </c>
      <c r="N3">
        <f>AVERAGE(H32:H61)</f>
        <v>0.23449563868642587</v>
      </c>
    </row>
    <row r="4" spans="1:14" x14ac:dyDescent="0.3">
      <c r="A4" t="s">
        <v>38</v>
      </c>
      <c r="B4" t="s">
        <v>1</v>
      </c>
      <c r="C4">
        <v>2</v>
      </c>
      <c r="D4">
        <v>41</v>
      </c>
      <c r="E4">
        <v>250</v>
      </c>
      <c r="F4">
        <v>90.4</v>
      </c>
      <c r="G4" t="s">
        <v>9</v>
      </c>
      <c r="H4">
        <f t="shared" si="0"/>
        <v>0.16400000000000001</v>
      </c>
      <c r="J4" t="s">
        <v>1223</v>
      </c>
      <c r="K4">
        <f>AVERAGE(F62:F91)</f>
        <v>39.349999999999994</v>
      </c>
      <c r="L4">
        <f>MIN(F62:F91)</f>
        <v>11.1</v>
      </c>
      <c r="M4">
        <f>MAX(F62:F91)</f>
        <v>66.900000000000006</v>
      </c>
      <c r="N4">
        <f>AVERAGE(H62:H91)</f>
        <v>0.28925700762237799</v>
      </c>
    </row>
    <row r="5" spans="1:14" x14ac:dyDescent="0.3">
      <c r="A5" t="s">
        <v>122</v>
      </c>
      <c r="B5" t="s">
        <v>1</v>
      </c>
      <c r="C5">
        <v>2</v>
      </c>
      <c r="D5">
        <v>42</v>
      </c>
      <c r="E5">
        <v>252</v>
      </c>
      <c r="F5">
        <v>88.5</v>
      </c>
      <c r="G5" t="s">
        <v>9</v>
      </c>
      <c r="H5">
        <f t="shared" si="0"/>
        <v>0.16666666666666666</v>
      </c>
      <c r="J5" t="s">
        <v>1224</v>
      </c>
      <c r="K5">
        <f>AVERAGE(F92:F121)</f>
        <v>30.93</v>
      </c>
      <c r="L5">
        <f>MIN(F92:F121)</f>
        <v>7.2</v>
      </c>
      <c r="M5">
        <f>MAX(F92:F121)</f>
        <v>49.2</v>
      </c>
      <c r="N5">
        <f>AVERAGE(H92:H121)</f>
        <v>0.33988063973439486</v>
      </c>
    </row>
    <row r="6" spans="1:14" x14ac:dyDescent="0.3">
      <c r="A6" t="s">
        <v>82</v>
      </c>
      <c r="B6" t="s">
        <v>1</v>
      </c>
      <c r="C6">
        <v>2</v>
      </c>
      <c r="D6">
        <v>42</v>
      </c>
      <c r="E6">
        <v>250</v>
      </c>
      <c r="F6">
        <v>78</v>
      </c>
      <c r="G6" t="s">
        <v>0</v>
      </c>
      <c r="H6">
        <f t="shared" si="0"/>
        <v>0.16800000000000001</v>
      </c>
    </row>
    <row r="7" spans="1:14" x14ac:dyDescent="0.3">
      <c r="A7" t="s">
        <v>42</v>
      </c>
      <c r="B7" t="s">
        <v>1</v>
      </c>
      <c r="C7">
        <v>2</v>
      </c>
      <c r="D7">
        <v>43</v>
      </c>
      <c r="E7">
        <v>256</v>
      </c>
      <c r="F7">
        <v>84.8</v>
      </c>
      <c r="G7" t="s">
        <v>9</v>
      </c>
      <c r="H7">
        <f t="shared" si="0"/>
        <v>0.16796875</v>
      </c>
    </row>
    <row r="8" spans="1:14" x14ac:dyDescent="0.3">
      <c r="A8" t="s">
        <v>114</v>
      </c>
      <c r="B8" t="s">
        <v>1</v>
      </c>
      <c r="C8">
        <v>2</v>
      </c>
      <c r="D8">
        <v>41</v>
      </c>
      <c r="E8">
        <v>250</v>
      </c>
      <c r="F8">
        <v>82.4</v>
      </c>
      <c r="G8" t="s">
        <v>9</v>
      </c>
      <c r="H8">
        <f t="shared" si="0"/>
        <v>0.16400000000000001</v>
      </c>
    </row>
    <row r="9" spans="1:14" x14ac:dyDescent="0.3">
      <c r="A9" t="s">
        <v>74</v>
      </c>
      <c r="B9" t="s">
        <v>1</v>
      </c>
      <c r="C9">
        <v>2</v>
      </c>
      <c r="D9">
        <v>41</v>
      </c>
      <c r="E9">
        <v>253</v>
      </c>
      <c r="F9">
        <v>75.900000000000006</v>
      </c>
      <c r="G9" t="s">
        <v>0</v>
      </c>
      <c r="H9">
        <f t="shared" si="0"/>
        <v>0.16205533596837945</v>
      </c>
    </row>
    <row r="10" spans="1:14" x14ac:dyDescent="0.3">
      <c r="A10" t="s">
        <v>34</v>
      </c>
      <c r="B10" t="s">
        <v>1</v>
      </c>
      <c r="C10">
        <v>2</v>
      </c>
      <c r="D10">
        <v>40</v>
      </c>
      <c r="E10">
        <v>254</v>
      </c>
      <c r="F10">
        <v>81.099999999999994</v>
      </c>
      <c r="G10" t="s">
        <v>9</v>
      </c>
      <c r="H10">
        <f t="shared" si="0"/>
        <v>0.15748031496062992</v>
      </c>
    </row>
    <row r="11" spans="1:14" x14ac:dyDescent="0.3">
      <c r="A11" t="s">
        <v>110</v>
      </c>
      <c r="B11" t="s">
        <v>1</v>
      </c>
      <c r="C11">
        <v>2</v>
      </c>
      <c r="D11">
        <v>43</v>
      </c>
      <c r="E11">
        <v>253</v>
      </c>
      <c r="F11">
        <v>88.1</v>
      </c>
      <c r="G11" t="s">
        <v>9</v>
      </c>
      <c r="H11">
        <f t="shared" si="0"/>
        <v>0.16996047430830039</v>
      </c>
    </row>
    <row r="12" spans="1:14" x14ac:dyDescent="0.3">
      <c r="A12" t="s">
        <v>70</v>
      </c>
      <c r="B12" t="s">
        <v>1</v>
      </c>
      <c r="C12">
        <v>2</v>
      </c>
      <c r="D12">
        <v>44</v>
      </c>
      <c r="E12">
        <v>258</v>
      </c>
      <c r="F12">
        <v>82.9</v>
      </c>
      <c r="G12" t="s">
        <v>9</v>
      </c>
      <c r="H12">
        <f t="shared" si="0"/>
        <v>0.17054263565891473</v>
      </c>
    </row>
    <row r="13" spans="1:14" x14ac:dyDescent="0.3">
      <c r="A13" t="s">
        <v>30</v>
      </c>
      <c r="B13" t="s">
        <v>1</v>
      </c>
      <c r="C13">
        <v>2</v>
      </c>
      <c r="D13">
        <v>40</v>
      </c>
      <c r="E13">
        <v>251</v>
      </c>
      <c r="F13">
        <v>88.4</v>
      </c>
      <c r="G13" t="s">
        <v>9</v>
      </c>
      <c r="H13">
        <f t="shared" si="0"/>
        <v>0.15936254980079681</v>
      </c>
    </row>
    <row r="14" spans="1:14" x14ac:dyDescent="0.3">
      <c r="A14" t="s">
        <v>106</v>
      </c>
      <c r="B14" t="s">
        <v>1</v>
      </c>
      <c r="C14">
        <v>2</v>
      </c>
      <c r="D14">
        <v>40</v>
      </c>
      <c r="E14">
        <v>254</v>
      </c>
      <c r="F14">
        <v>78.7</v>
      </c>
      <c r="G14" t="s">
        <v>0</v>
      </c>
      <c r="H14">
        <f t="shared" si="0"/>
        <v>0.15748031496062992</v>
      </c>
    </row>
    <row r="15" spans="1:14" x14ac:dyDescent="0.3">
      <c r="A15" t="s">
        <v>66</v>
      </c>
      <c r="B15" t="s">
        <v>1</v>
      </c>
      <c r="C15">
        <v>2</v>
      </c>
      <c r="D15">
        <v>42</v>
      </c>
      <c r="E15">
        <v>250</v>
      </c>
      <c r="F15">
        <v>90</v>
      </c>
      <c r="G15" t="s">
        <v>9</v>
      </c>
      <c r="H15">
        <f t="shared" si="0"/>
        <v>0.16800000000000001</v>
      </c>
    </row>
    <row r="16" spans="1:14" x14ac:dyDescent="0.3">
      <c r="A16" t="s">
        <v>26</v>
      </c>
      <c r="B16" t="s">
        <v>1</v>
      </c>
      <c r="C16">
        <v>2</v>
      </c>
      <c r="D16">
        <v>42</v>
      </c>
      <c r="E16">
        <v>252</v>
      </c>
      <c r="F16">
        <v>67.900000000000006</v>
      </c>
      <c r="G16" t="s">
        <v>0</v>
      </c>
      <c r="H16">
        <f t="shared" si="0"/>
        <v>0.16666666666666666</v>
      </c>
    </row>
    <row r="17" spans="1:8" x14ac:dyDescent="0.3">
      <c r="A17" t="s">
        <v>102</v>
      </c>
      <c r="B17" t="s">
        <v>1</v>
      </c>
      <c r="C17">
        <v>2</v>
      </c>
      <c r="D17">
        <v>40</v>
      </c>
      <c r="E17">
        <v>250</v>
      </c>
      <c r="F17">
        <v>89.2</v>
      </c>
      <c r="G17" t="s">
        <v>9</v>
      </c>
      <c r="H17">
        <f t="shared" si="0"/>
        <v>0.16</v>
      </c>
    </row>
    <row r="18" spans="1:8" x14ac:dyDescent="0.3">
      <c r="A18" t="s">
        <v>62</v>
      </c>
      <c r="B18" t="s">
        <v>1</v>
      </c>
      <c r="C18">
        <v>2</v>
      </c>
      <c r="D18">
        <v>44</v>
      </c>
      <c r="E18">
        <v>254</v>
      </c>
      <c r="F18">
        <v>75.599999999999994</v>
      </c>
      <c r="G18" t="s">
        <v>0</v>
      </c>
      <c r="H18">
        <f t="shared" si="0"/>
        <v>0.17322834645669291</v>
      </c>
    </row>
    <row r="19" spans="1:8" x14ac:dyDescent="0.3">
      <c r="A19" t="s">
        <v>22</v>
      </c>
      <c r="B19" t="s">
        <v>1</v>
      </c>
      <c r="C19">
        <v>2</v>
      </c>
      <c r="D19">
        <v>43</v>
      </c>
      <c r="E19">
        <v>257</v>
      </c>
      <c r="F19">
        <v>71.2</v>
      </c>
      <c r="G19" t="s">
        <v>0</v>
      </c>
      <c r="H19">
        <f t="shared" si="0"/>
        <v>0.16731517509727625</v>
      </c>
    </row>
    <row r="20" spans="1:8" x14ac:dyDescent="0.3">
      <c r="A20" t="s">
        <v>98</v>
      </c>
      <c r="B20" t="s">
        <v>1</v>
      </c>
      <c r="C20">
        <v>2</v>
      </c>
      <c r="D20">
        <v>41</v>
      </c>
      <c r="E20">
        <v>253</v>
      </c>
      <c r="F20">
        <v>70</v>
      </c>
      <c r="G20" t="s">
        <v>0</v>
      </c>
      <c r="H20">
        <f t="shared" si="0"/>
        <v>0.16205533596837945</v>
      </c>
    </row>
    <row r="21" spans="1:8" x14ac:dyDescent="0.3">
      <c r="A21" t="s">
        <v>58</v>
      </c>
      <c r="B21" t="s">
        <v>1</v>
      </c>
      <c r="C21">
        <v>2</v>
      </c>
      <c r="D21">
        <v>44</v>
      </c>
      <c r="E21">
        <v>256</v>
      </c>
      <c r="F21">
        <v>85.5</v>
      </c>
      <c r="G21" t="s">
        <v>9</v>
      </c>
      <c r="H21">
        <f t="shared" si="0"/>
        <v>0.171875</v>
      </c>
    </row>
    <row r="22" spans="1:8" x14ac:dyDescent="0.3">
      <c r="A22" t="s">
        <v>18</v>
      </c>
      <c r="B22" t="s">
        <v>1</v>
      </c>
      <c r="C22">
        <v>2</v>
      </c>
      <c r="D22">
        <v>45</v>
      </c>
      <c r="E22">
        <v>253</v>
      </c>
      <c r="F22">
        <v>68.8</v>
      </c>
      <c r="G22" t="s">
        <v>0</v>
      </c>
      <c r="H22">
        <f t="shared" si="0"/>
        <v>0.17786561264822134</v>
      </c>
    </row>
    <row r="23" spans="1:8" x14ac:dyDescent="0.3">
      <c r="A23" t="s">
        <v>94</v>
      </c>
      <c r="B23" t="s">
        <v>1</v>
      </c>
      <c r="C23">
        <v>2</v>
      </c>
      <c r="D23">
        <v>42</v>
      </c>
      <c r="E23">
        <v>255</v>
      </c>
      <c r="F23">
        <v>86.7</v>
      </c>
      <c r="G23" t="s">
        <v>9</v>
      </c>
      <c r="H23">
        <f t="shared" si="0"/>
        <v>0.16470588235294117</v>
      </c>
    </row>
    <row r="24" spans="1:8" x14ac:dyDescent="0.3">
      <c r="A24" t="s">
        <v>54</v>
      </c>
      <c r="B24" t="s">
        <v>1</v>
      </c>
      <c r="C24">
        <v>2</v>
      </c>
      <c r="D24">
        <v>41</v>
      </c>
      <c r="E24">
        <v>250</v>
      </c>
      <c r="F24">
        <v>91.2</v>
      </c>
      <c r="G24" t="s">
        <v>9</v>
      </c>
      <c r="H24">
        <f t="shared" si="0"/>
        <v>0.16400000000000001</v>
      </c>
    </row>
    <row r="25" spans="1:8" x14ac:dyDescent="0.3">
      <c r="A25" t="s">
        <v>14</v>
      </c>
      <c r="B25" t="s">
        <v>1</v>
      </c>
      <c r="C25">
        <v>2</v>
      </c>
      <c r="D25">
        <v>40</v>
      </c>
      <c r="E25">
        <v>253</v>
      </c>
      <c r="F25">
        <v>74.3</v>
      </c>
      <c r="G25" t="s">
        <v>0</v>
      </c>
      <c r="H25">
        <f t="shared" si="0"/>
        <v>0.15810276679841898</v>
      </c>
    </row>
    <row r="26" spans="1:8" x14ac:dyDescent="0.3">
      <c r="A26" t="s">
        <v>90</v>
      </c>
      <c r="B26" t="s">
        <v>1</v>
      </c>
      <c r="C26">
        <v>2</v>
      </c>
      <c r="D26">
        <v>42</v>
      </c>
      <c r="E26">
        <v>251</v>
      </c>
      <c r="F26">
        <v>45</v>
      </c>
      <c r="G26" t="s">
        <v>0</v>
      </c>
      <c r="H26">
        <f t="shared" si="0"/>
        <v>0.16733067729083664</v>
      </c>
    </row>
    <row r="27" spans="1:8" x14ac:dyDescent="0.3">
      <c r="A27" t="s">
        <v>50</v>
      </c>
      <c r="B27" t="s">
        <v>1</v>
      </c>
      <c r="C27">
        <v>2</v>
      </c>
      <c r="D27">
        <v>41</v>
      </c>
      <c r="E27">
        <v>251</v>
      </c>
      <c r="F27">
        <v>97.6</v>
      </c>
      <c r="G27" t="s">
        <v>9</v>
      </c>
      <c r="H27">
        <f t="shared" si="0"/>
        <v>0.16334661354581673</v>
      </c>
    </row>
    <row r="28" spans="1:8" x14ac:dyDescent="0.3">
      <c r="A28" t="s">
        <v>10</v>
      </c>
      <c r="B28" t="s">
        <v>1</v>
      </c>
      <c r="C28">
        <v>2</v>
      </c>
      <c r="D28">
        <v>42</v>
      </c>
      <c r="E28">
        <v>257</v>
      </c>
      <c r="F28">
        <v>84.4</v>
      </c>
      <c r="G28" t="s">
        <v>9</v>
      </c>
      <c r="H28">
        <f t="shared" si="0"/>
        <v>0.16342412451361868</v>
      </c>
    </row>
    <row r="29" spans="1:8" x14ac:dyDescent="0.3">
      <c r="A29" t="s">
        <v>86</v>
      </c>
      <c r="B29" t="s">
        <v>1</v>
      </c>
      <c r="C29">
        <v>2</v>
      </c>
      <c r="D29">
        <v>41</v>
      </c>
      <c r="E29">
        <v>254</v>
      </c>
      <c r="F29">
        <v>88.6</v>
      </c>
      <c r="G29" t="s">
        <v>9</v>
      </c>
      <c r="H29">
        <f t="shared" si="0"/>
        <v>0.16141732283464566</v>
      </c>
    </row>
    <row r="30" spans="1:8" x14ac:dyDescent="0.3">
      <c r="A30" t="s">
        <v>46</v>
      </c>
      <c r="B30" t="s">
        <v>1</v>
      </c>
      <c r="C30">
        <v>2</v>
      </c>
      <c r="D30">
        <v>41</v>
      </c>
      <c r="E30">
        <v>251</v>
      </c>
      <c r="F30">
        <v>74.5</v>
      </c>
      <c r="G30" t="s">
        <v>0</v>
      </c>
      <c r="H30">
        <f t="shared" si="0"/>
        <v>0.16334661354581673</v>
      </c>
    </row>
    <row r="31" spans="1:8" x14ac:dyDescent="0.3">
      <c r="A31" t="s">
        <v>5</v>
      </c>
      <c r="B31" t="s">
        <v>1</v>
      </c>
      <c r="C31">
        <v>2</v>
      </c>
      <c r="D31">
        <v>42</v>
      </c>
      <c r="E31">
        <v>251</v>
      </c>
      <c r="F31">
        <v>68.900000000000006</v>
      </c>
      <c r="G31" t="s">
        <v>0</v>
      </c>
      <c r="H31">
        <f t="shared" si="0"/>
        <v>0.16733067729083664</v>
      </c>
    </row>
    <row r="32" spans="1:8" x14ac:dyDescent="0.3">
      <c r="A32" t="s">
        <v>117</v>
      </c>
      <c r="B32" t="s">
        <v>1</v>
      </c>
      <c r="C32">
        <v>3</v>
      </c>
      <c r="D32">
        <v>61</v>
      </c>
      <c r="E32">
        <v>250</v>
      </c>
      <c r="F32">
        <v>45.2</v>
      </c>
      <c r="G32" t="s">
        <v>0</v>
      </c>
      <c r="H32">
        <f t="shared" si="0"/>
        <v>0.24399999999999999</v>
      </c>
    </row>
    <row r="33" spans="1:8" x14ac:dyDescent="0.3">
      <c r="A33" t="s">
        <v>77</v>
      </c>
      <c r="B33" t="s">
        <v>1</v>
      </c>
      <c r="C33">
        <v>3</v>
      </c>
      <c r="D33">
        <v>61</v>
      </c>
      <c r="E33">
        <v>253</v>
      </c>
      <c r="F33">
        <v>56.1</v>
      </c>
      <c r="G33" t="s">
        <v>0</v>
      </c>
      <c r="H33">
        <f t="shared" si="0"/>
        <v>0.24110671936758893</v>
      </c>
    </row>
    <row r="34" spans="1:8" x14ac:dyDescent="0.3">
      <c r="A34" t="s">
        <v>37</v>
      </c>
      <c r="B34" t="s">
        <v>1</v>
      </c>
      <c r="C34">
        <v>3</v>
      </c>
      <c r="D34">
        <v>56</v>
      </c>
      <c r="E34">
        <v>250</v>
      </c>
      <c r="F34">
        <v>55.6</v>
      </c>
      <c r="G34" t="s">
        <v>0</v>
      </c>
      <c r="H34">
        <f t="shared" si="0"/>
        <v>0.224</v>
      </c>
    </row>
    <row r="35" spans="1:8" x14ac:dyDescent="0.3">
      <c r="A35" t="s">
        <v>121</v>
      </c>
      <c r="B35" t="s">
        <v>1</v>
      </c>
      <c r="C35">
        <v>3</v>
      </c>
      <c r="D35">
        <v>56</v>
      </c>
      <c r="E35">
        <v>252</v>
      </c>
      <c r="F35">
        <v>36.9</v>
      </c>
      <c r="G35" t="s">
        <v>0</v>
      </c>
      <c r="H35">
        <f t="shared" si="0"/>
        <v>0.22222222222222221</v>
      </c>
    </row>
    <row r="36" spans="1:8" x14ac:dyDescent="0.3">
      <c r="A36" t="s">
        <v>81</v>
      </c>
      <c r="B36" t="s">
        <v>1</v>
      </c>
      <c r="C36">
        <v>3</v>
      </c>
      <c r="D36">
        <v>60</v>
      </c>
      <c r="E36">
        <v>250</v>
      </c>
      <c r="F36">
        <v>52.8</v>
      </c>
      <c r="G36" t="s">
        <v>0</v>
      </c>
      <c r="H36">
        <f t="shared" si="0"/>
        <v>0.24</v>
      </c>
    </row>
    <row r="37" spans="1:8" x14ac:dyDescent="0.3">
      <c r="A37" t="s">
        <v>41</v>
      </c>
      <c r="B37" t="s">
        <v>1</v>
      </c>
      <c r="C37">
        <v>3</v>
      </c>
      <c r="D37">
        <v>61</v>
      </c>
      <c r="E37">
        <v>256</v>
      </c>
      <c r="F37">
        <v>57.4</v>
      </c>
      <c r="G37" t="s">
        <v>0</v>
      </c>
      <c r="H37">
        <f t="shared" si="0"/>
        <v>0.23828125</v>
      </c>
    </row>
    <row r="38" spans="1:8" x14ac:dyDescent="0.3">
      <c r="A38" t="s">
        <v>113</v>
      </c>
      <c r="B38" t="s">
        <v>1</v>
      </c>
      <c r="C38">
        <v>3</v>
      </c>
      <c r="D38">
        <v>61</v>
      </c>
      <c r="E38">
        <v>250</v>
      </c>
      <c r="F38">
        <v>62</v>
      </c>
      <c r="G38" t="s">
        <v>0</v>
      </c>
      <c r="H38">
        <f t="shared" si="0"/>
        <v>0.24399999999999999</v>
      </c>
    </row>
    <row r="39" spans="1:8" x14ac:dyDescent="0.3">
      <c r="A39" t="s">
        <v>73</v>
      </c>
      <c r="B39" t="s">
        <v>1</v>
      </c>
      <c r="C39">
        <v>3</v>
      </c>
      <c r="D39">
        <v>60</v>
      </c>
      <c r="E39">
        <v>253</v>
      </c>
      <c r="F39">
        <v>47.8</v>
      </c>
      <c r="G39" t="s">
        <v>0</v>
      </c>
      <c r="H39">
        <f t="shared" si="0"/>
        <v>0.23715415019762845</v>
      </c>
    </row>
    <row r="40" spans="1:8" x14ac:dyDescent="0.3">
      <c r="A40" t="s">
        <v>33</v>
      </c>
      <c r="B40" t="s">
        <v>1</v>
      </c>
      <c r="C40">
        <v>3</v>
      </c>
      <c r="D40">
        <v>59</v>
      </c>
      <c r="E40">
        <v>254</v>
      </c>
      <c r="F40">
        <v>34.6</v>
      </c>
      <c r="G40" t="s">
        <v>0</v>
      </c>
      <c r="H40">
        <f t="shared" si="0"/>
        <v>0.23228346456692914</v>
      </c>
    </row>
    <row r="41" spans="1:8" x14ac:dyDescent="0.3">
      <c r="A41" t="s">
        <v>109</v>
      </c>
      <c r="B41" t="s">
        <v>1</v>
      </c>
      <c r="C41">
        <v>3</v>
      </c>
      <c r="D41">
        <v>57</v>
      </c>
      <c r="E41">
        <v>253</v>
      </c>
      <c r="F41">
        <v>65.2</v>
      </c>
      <c r="G41" t="s">
        <v>0</v>
      </c>
      <c r="H41">
        <f t="shared" si="0"/>
        <v>0.22529644268774704</v>
      </c>
    </row>
    <row r="42" spans="1:8" x14ac:dyDescent="0.3">
      <c r="A42" t="s">
        <v>69</v>
      </c>
      <c r="B42" t="s">
        <v>1</v>
      </c>
      <c r="C42">
        <v>3</v>
      </c>
      <c r="D42">
        <v>63</v>
      </c>
      <c r="E42">
        <v>258</v>
      </c>
      <c r="F42">
        <v>73.3</v>
      </c>
      <c r="G42" t="s">
        <v>0</v>
      </c>
      <c r="H42">
        <f t="shared" si="0"/>
        <v>0.2441860465116279</v>
      </c>
    </row>
    <row r="43" spans="1:8" x14ac:dyDescent="0.3">
      <c r="A43" t="s">
        <v>29</v>
      </c>
      <c r="B43" t="s">
        <v>1</v>
      </c>
      <c r="C43">
        <v>3</v>
      </c>
      <c r="D43">
        <v>57</v>
      </c>
      <c r="E43">
        <v>251</v>
      </c>
      <c r="F43">
        <v>44.6</v>
      </c>
      <c r="G43" t="s">
        <v>0</v>
      </c>
      <c r="H43">
        <f t="shared" si="0"/>
        <v>0.22709163346613545</v>
      </c>
    </row>
    <row r="44" spans="1:8" x14ac:dyDescent="0.3">
      <c r="A44" t="s">
        <v>105</v>
      </c>
      <c r="B44" t="s">
        <v>1</v>
      </c>
      <c r="C44">
        <v>3</v>
      </c>
      <c r="D44">
        <v>58</v>
      </c>
      <c r="E44">
        <v>254</v>
      </c>
      <c r="F44">
        <v>38.200000000000003</v>
      </c>
      <c r="G44" t="s">
        <v>0</v>
      </c>
      <c r="H44">
        <f t="shared" si="0"/>
        <v>0.2283464566929134</v>
      </c>
    </row>
    <row r="45" spans="1:8" x14ac:dyDescent="0.3">
      <c r="A45" t="s">
        <v>65</v>
      </c>
      <c r="B45" t="s">
        <v>1</v>
      </c>
      <c r="C45">
        <v>3</v>
      </c>
      <c r="D45">
        <v>58</v>
      </c>
      <c r="E45">
        <v>250</v>
      </c>
      <c r="F45">
        <v>53.2</v>
      </c>
      <c r="G45" t="s">
        <v>0</v>
      </c>
      <c r="H45">
        <f t="shared" si="0"/>
        <v>0.23200000000000001</v>
      </c>
    </row>
    <row r="46" spans="1:8" x14ac:dyDescent="0.3">
      <c r="A46" t="s">
        <v>25</v>
      </c>
      <c r="B46" t="s">
        <v>1</v>
      </c>
      <c r="C46">
        <v>3</v>
      </c>
      <c r="D46">
        <v>57</v>
      </c>
      <c r="E46">
        <v>252</v>
      </c>
      <c r="F46">
        <v>46</v>
      </c>
      <c r="G46" t="s">
        <v>0</v>
      </c>
      <c r="H46">
        <f t="shared" si="0"/>
        <v>0.22619047619047619</v>
      </c>
    </row>
    <row r="47" spans="1:8" x14ac:dyDescent="0.3">
      <c r="A47" t="s">
        <v>101</v>
      </c>
      <c r="B47" t="s">
        <v>1</v>
      </c>
      <c r="C47">
        <v>3</v>
      </c>
      <c r="D47">
        <v>59</v>
      </c>
      <c r="E47">
        <v>250</v>
      </c>
      <c r="F47">
        <v>34.799999999999997</v>
      </c>
      <c r="G47" t="s">
        <v>0</v>
      </c>
      <c r="H47">
        <f t="shared" si="0"/>
        <v>0.23599999999999999</v>
      </c>
    </row>
    <row r="48" spans="1:8" x14ac:dyDescent="0.3">
      <c r="A48" t="s">
        <v>61</v>
      </c>
      <c r="B48" t="s">
        <v>1</v>
      </c>
      <c r="C48">
        <v>3</v>
      </c>
      <c r="D48">
        <v>59</v>
      </c>
      <c r="E48">
        <v>254</v>
      </c>
      <c r="F48">
        <v>54.3</v>
      </c>
      <c r="G48" t="s">
        <v>0</v>
      </c>
      <c r="H48">
        <f t="shared" si="0"/>
        <v>0.23228346456692914</v>
      </c>
    </row>
    <row r="49" spans="1:8" x14ac:dyDescent="0.3">
      <c r="A49" t="s">
        <v>21</v>
      </c>
      <c r="B49" t="s">
        <v>1</v>
      </c>
      <c r="C49">
        <v>3</v>
      </c>
      <c r="D49">
        <v>60</v>
      </c>
      <c r="E49">
        <v>257</v>
      </c>
      <c r="F49">
        <v>68.5</v>
      </c>
      <c r="G49" t="s">
        <v>0</v>
      </c>
      <c r="H49">
        <f t="shared" si="0"/>
        <v>0.23346303501945526</v>
      </c>
    </row>
    <row r="50" spans="1:8" x14ac:dyDescent="0.3">
      <c r="A50" t="s">
        <v>97</v>
      </c>
      <c r="B50" t="s">
        <v>1</v>
      </c>
      <c r="C50">
        <v>3</v>
      </c>
      <c r="D50">
        <v>60</v>
      </c>
      <c r="E50">
        <v>253</v>
      </c>
      <c r="F50">
        <v>40.700000000000003</v>
      </c>
      <c r="G50" t="s">
        <v>0</v>
      </c>
      <c r="H50">
        <f t="shared" si="0"/>
        <v>0.23715415019762845</v>
      </c>
    </row>
    <row r="51" spans="1:8" x14ac:dyDescent="0.3">
      <c r="A51" t="s">
        <v>57</v>
      </c>
      <c r="B51" t="s">
        <v>1</v>
      </c>
      <c r="C51">
        <v>3</v>
      </c>
      <c r="D51">
        <v>61</v>
      </c>
      <c r="E51">
        <v>256</v>
      </c>
      <c r="F51">
        <v>62.5</v>
      </c>
      <c r="G51" t="s">
        <v>0</v>
      </c>
      <c r="H51">
        <f t="shared" si="0"/>
        <v>0.23828125</v>
      </c>
    </row>
    <row r="52" spans="1:8" x14ac:dyDescent="0.3">
      <c r="A52" t="s">
        <v>17</v>
      </c>
      <c r="B52" t="s">
        <v>1</v>
      </c>
      <c r="C52">
        <v>3</v>
      </c>
      <c r="D52">
        <v>63</v>
      </c>
      <c r="E52">
        <v>253</v>
      </c>
      <c r="F52">
        <v>52.2</v>
      </c>
      <c r="G52" t="s">
        <v>0</v>
      </c>
      <c r="H52">
        <f t="shared" si="0"/>
        <v>0.24901185770750989</v>
      </c>
    </row>
    <row r="53" spans="1:8" x14ac:dyDescent="0.3">
      <c r="A53" t="s">
        <v>93</v>
      </c>
      <c r="B53" t="s">
        <v>1</v>
      </c>
      <c r="C53">
        <v>3</v>
      </c>
      <c r="D53">
        <v>58</v>
      </c>
      <c r="E53">
        <v>255</v>
      </c>
      <c r="F53">
        <v>40.799999999999997</v>
      </c>
      <c r="G53" t="s">
        <v>0</v>
      </c>
      <c r="H53">
        <f t="shared" si="0"/>
        <v>0.22745098039215686</v>
      </c>
    </row>
    <row r="54" spans="1:8" x14ac:dyDescent="0.3">
      <c r="A54" t="s">
        <v>53</v>
      </c>
      <c r="B54" t="s">
        <v>1</v>
      </c>
      <c r="C54">
        <v>3</v>
      </c>
      <c r="D54">
        <v>60</v>
      </c>
      <c r="E54">
        <v>250</v>
      </c>
      <c r="F54">
        <v>71.599999999999994</v>
      </c>
      <c r="G54" t="s">
        <v>0</v>
      </c>
      <c r="H54">
        <f t="shared" si="0"/>
        <v>0.24</v>
      </c>
    </row>
    <row r="55" spans="1:8" x14ac:dyDescent="0.3">
      <c r="A55" t="s">
        <v>13</v>
      </c>
      <c r="B55" t="s">
        <v>1</v>
      </c>
      <c r="C55">
        <v>3</v>
      </c>
      <c r="D55">
        <v>56</v>
      </c>
      <c r="E55">
        <v>253</v>
      </c>
      <c r="F55">
        <v>41.9</v>
      </c>
      <c r="G55" t="s">
        <v>0</v>
      </c>
      <c r="H55">
        <f t="shared" si="0"/>
        <v>0.22134387351778656</v>
      </c>
    </row>
    <row r="56" spans="1:8" x14ac:dyDescent="0.3">
      <c r="A56" t="s">
        <v>89</v>
      </c>
      <c r="B56" t="s">
        <v>1</v>
      </c>
      <c r="C56">
        <v>3</v>
      </c>
      <c r="D56">
        <v>59</v>
      </c>
      <c r="E56">
        <v>251</v>
      </c>
      <c r="F56">
        <v>37.1</v>
      </c>
      <c r="G56" t="s">
        <v>0</v>
      </c>
      <c r="H56">
        <f t="shared" si="0"/>
        <v>0.23505976095617531</v>
      </c>
    </row>
    <row r="57" spans="1:8" x14ac:dyDescent="0.3">
      <c r="A57" t="s">
        <v>49</v>
      </c>
      <c r="B57" t="s">
        <v>1</v>
      </c>
      <c r="C57">
        <v>3</v>
      </c>
      <c r="D57">
        <v>61</v>
      </c>
      <c r="E57">
        <v>251</v>
      </c>
      <c r="F57">
        <v>64.5</v>
      </c>
      <c r="G57" t="s">
        <v>0</v>
      </c>
      <c r="H57">
        <f t="shared" si="0"/>
        <v>0.24302788844621515</v>
      </c>
    </row>
    <row r="58" spans="1:8" x14ac:dyDescent="0.3">
      <c r="A58" t="s">
        <v>8</v>
      </c>
      <c r="B58" t="s">
        <v>1</v>
      </c>
      <c r="C58">
        <v>3</v>
      </c>
      <c r="D58">
        <v>63</v>
      </c>
      <c r="E58">
        <v>257</v>
      </c>
      <c r="F58">
        <v>48.2</v>
      </c>
      <c r="G58" t="s">
        <v>0</v>
      </c>
      <c r="H58">
        <f t="shared" si="0"/>
        <v>0.24513618677042801</v>
      </c>
    </row>
    <row r="59" spans="1:8" x14ac:dyDescent="0.3">
      <c r="A59" t="s">
        <v>85</v>
      </c>
      <c r="B59" t="s">
        <v>1</v>
      </c>
      <c r="C59">
        <v>3</v>
      </c>
      <c r="D59">
        <v>58</v>
      </c>
      <c r="E59">
        <v>254</v>
      </c>
      <c r="F59">
        <v>50.4</v>
      </c>
      <c r="G59" t="s">
        <v>0</v>
      </c>
      <c r="H59">
        <f t="shared" si="0"/>
        <v>0.2283464566929134</v>
      </c>
    </row>
    <row r="60" spans="1:8" x14ac:dyDescent="0.3">
      <c r="A60" t="s">
        <v>45</v>
      </c>
      <c r="B60" t="s">
        <v>1</v>
      </c>
      <c r="C60">
        <v>3</v>
      </c>
      <c r="D60">
        <v>57</v>
      </c>
      <c r="E60">
        <v>251</v>
      </c>
      <c r="F60">
        <v>42.6</v>
      </c>
      <c r="G60" t="s">
        <v>0</v>
      </c>
      <c r="H60">
        <f t="shared" si="0"/>
        <v>0.22709163346613545</v>
      </c>
    </row>
    <row r="61" spans="1:8" x14ac:dyDescent="0.3">
      <c r="A61" t="s">
        <v>4</v>
      </c>
      <c r="B61" t="s">
        <v>1</v>
      </c>
      <c r="C61">
        <v>3</v>
      </c>
      <c r="D61">
        <v>59</v>
      </c>
      <c r="E61">
        <v>251</v>
      </c>
      <c r="F61">
        <v>17.899999999999999</v>
      </c>
      <c r="G61" t="s">
        <v>0</v>
      </c>
      <c r="H61">
        <f t="shared" si="0"/>
        <v>0.23505976095617531</v>
      </c>
    </row>
    <row r="62" spans="1:8" x14ac:dyDescent="0.3">
      <c r="A62" t="s">
        <v>116</v>
      </c>
      <c r="B62" t="s">
        <v>1</v>
      </c>
      <c r="C62">
        <v>4</v>
      </c>
      <c r="D62">
        <v>69</v>
      </c>
      <c r="E62">
        <v>250</v>
      </c>
      <c r="F62">
        <v>18.399999999999999</v>
      </c>
      <c r="G62" t="s">
        <v>0</v>
      </c>
      <c r="H62">
        <f t="shared" si="0"/>
        <v>0.27600000000000002</v>
      </c>
    </row>
    <row r="63" spans="1:8" x14ac:dyDescent="0.3">
      <c r="A63" t="s">
        <v>76</v>
      </c>
      <c r="B63" t="s">
        <v>1</v>
      </c>
      <c r="C63">
        <v>4</v>
      </c>
      <c r="D63">
        <v>75</v>
      </c>
      <c r="E63">
        <v>253</v>
      </c>
      <c r="F63">
        <v>33.6</v>
      </c>
      <c r="G63" t="s">
        <v>0</v>
      </c>
      <c r="H63">
        <f t="shared" si="0"/>
        <v>0.29644268774703558</v>
      </c>
    </row>
    <row r="64" spans="1:8" x14ac:dyDescent="0.3">
      <c r="A64" t="s">
        <v>36</v>
      </c>
      <c r="B64" t="s">
        <v>1</v>
      </c>
      <c r="C64">
        <v>4</v>
      </c>
      <c r="D64">
        <v>72</v>
      </c>
      <c r="E64">
        <v>250</v>
      </c>
      <c r="F64">
        <v>49.2</v>
      </c>
      <c r="G64" t="s">
        <v>0</v>
      </c>
      <c r="H64">
        <f t="shared" si="0"/>
        <v>0.28799999999999998</v>
      </c>
    </row>
    <row r="65" spans="1:8" x14ac:dyDescent="0.3">
      <c r="A65" t="s">
        <v>120</v>
      </c>
      <c r="B65" t="s">
        <v>1</v>
      </c>
      <c r="C65">
        <v>4</v>
      </c>
      <c r="D65">
        <v>71</v>
      </c>
      <c r="E65">
        <v>252</v>
      </c>
      <c r="F65">
        <v>11.1</v>
      </c>
      <c r="G65" t="s">
        <v>0</v>
      </c>
      <c r="H65">
        <f t="shared" si="0"/>
        <v>0.28174603174603174</v>
      </c>
    </row>
    <row r="66" spans="1:8" x14ac:dyDescent="0.3">
      <c r="A66" t="s">
        <v>80</v>
      </c>
      <c r="B66" t="s">
        <v>1</v>
      </c>
      <c r="C66">
        <v>4</v>
      </c>
      <c r="D66">
        <v>76</v>
      </c>
      <c r="E66">
        <v>250</v>
      </c>
      <c r="F66">
        <v>32</v>
      </c>
      <c r="G66" t="s">
        <v>0</v>
      </c>
      <c r="H66">
        <f t="shared" si="0"/>
        <v>0.30399999999999999</v>
      </c>
    </row>
    <row r="67" spans="1:8" x14ac:dyDescent="0.3">
      <c r="A67" t="s">
        <v>40</v>
      </c>
      <c r="B67" t="s">
        <v>1</v>
      </c>
      <c r="C67">
        <v>4</v>
      </c>
      <c r="D67">
        <v>74</v>
      </c>
      <c r="E67">
        <v>256</v>
      </c>
      <c r="F67">
        <v>57.4</v>
      </c>
      <c r="G67" t="s">
        <v>0</v>
      </c>
      <c r="H67">
        <f t="shared" ref="H67:H121" si="1">D67/E67</f>
        <v>0.2890625</v>
      </c>
    </row>
    <row r="68" spans="1:8" x14ac:dyDescent="0.3">
      <c r="A68" t="s">
        <v>112</v>
      </c>
      <c r="B68" t="s">
        <v>1</v>
      </c>
      <c r="C68">
        <v>4</v>
      </c>
      <c r="D68">
        <v>75</v>
      </c>
      <c r="E68">
        <v>250</v>
      </c>
      <c r="F68">
        <v>45.2</v>
      </c>
      <c r="G68" t="s">
        <v>0</v>
      </c>
      <c r="H68">
        <f t="shared" si="1"/>
        <v>0.3</v>
      </c>
    </row>
    <row r="69" spans="1:8" x14ac:dyDescent="0.3">
      <c r="A69" t="s">
        <v>72</v>
      </c>
      <c r="B69" t="s">
        <v>1</v>
      </c>
      <c r="C69">
        <v>4</v>
      </c>
      <c r="D69">
        <v>74</v>
      </c>
      <c r="E69">
        <v>253</v>
      </c>
      <c r="F69">
        <v>34</v>
      </c>
      <c r="G69" t="s">
        <v>0</v>
      </c>
      <c r="H69">
        <f t="shared" si="1"/>
        <v>0.29249011857707508</v>
      </c>
    </row>
    <row r="70" spans="1:8" x14ac:dyDescent="0.3">
      <c r="A70" t="s">
        <v>32</v>
      </c>
      <c r="B70" t="s">
        <v>1</v>
      </c>
      <c r="C70">
        <v>4</v>
      </c>
      <c r="D70">
        <v>72</v>
      </c>
      <c r="E70">
        <v>254</v>
      </c>
      <c r="F70">
        <v>35</v>
      </c>
      <c r="G70" t="s">
        <v>0</v>
      </c>
      <c r="H70">
        <f t="shared" si="1"/>
        <v>0.28346456692913385</v>
      </c>
    </row>
    <row r="71" spans="1:8" x14ac:dyDescent="0.3">
      <c r="A71" t="s">
        <v>108</v>
      </c>
      <c r="B71" t="s">
        <v>1</v>
      </c>
      <c r="C71">
        <v>4</v>
      </c>
      <c r="D71">
        <v>73</v>
      </c>
      <c r="E71">
        <v>253</v>
      </c>
      <c r="F71">
        <v>56.1</v>
      </c>
      <c r="G71" t="s">
        <v>0</v>
      </c>
      <c r="H71">
        <f t="shared" si="1"/>
        <v>0.28853754940711462</v>
      </c>
    </row>
    <row r="72" spans="1:8" x14ac:dyDescent="0.3">
      <c r="A72" t="s">
        <v>68</v>
      </c>
      <c r="B72" t="s">
        <v>1</v>
      </c>
      <c r="C72">
        <v>4</v>
      </c>
      <c r="D72">
        <v>74</v>
      </c>
      <c r="E72">
        <v>258</v>
      </c>
      <c r="F72">
        <v>65.5</v>
      </c>
      <c r="G72" t="s">
        <v>0</v>
      </c>
      <c r="H72">
        <f t="shared" si="1"/>
        <v>0.2868217054263566</v>
      </c>
    </row>
    <row r="73" spans="1:8" x14ac:dyDescent="0.3">
      <c r="A73" t="s">
        <v>28</v>
      </c>
      <c r="B73" t="s">
        <v>1</v>
      </c>
      <c r="C73">
        <v>4</v>
      </c>
      <c r="D73">
        <v>72</v>
      </c>
      <c r="E73">
        <v>251</v>
      </c>
      <c r="F73">
        <v>33.5</v>
      </c>
      <c r="G73" t="s">
        <v>0</v>
      </c>
      <c r="H73">
        <f t="shared" si="1"/>
        <v>0.28685258964143429</v>
      </c>
    </row>
    <row r="74" spans="1:8" x14ac:dyDescent="0.3">
      <c r="A74" t="s">
        <v>104</v>
      </c>
      <c r="B74" t="s">
        <v>1</v>
      </c>
      <c r="C74">
        <v>4</v>
      </c>
      <c r="D74">
        <v>72</v>
      </c>
      <c r="E74">
        <v>254</v>
      </c>
      <c r="F74">
        <v>34.6</v>
      </c>
      <c r="G74" t="s">
        <v>0</v>
      </c>
      <c r="H74">
        <f t="shared" si="1"/>
        <v>0.28346456692913385</v>
      </c>
    </row>
    <row r="75" spans="1:8" x14ac:dyDescent="0.3">
      <c r="A75" t="s">
        <v>64</v>
      </c>
      <c r="B75" t="s">
        <v>1</v>
      </c>
      <c r="C75">
        <v>4</v>
      </c>
      <c r="D75">
        <v>77</v>
      </c>
      <c r="E75">
        <v>250</v>
      </c>
      <c r="F75">
        <v>53.6</v>
      </c>
      <c r="G75" t="s">
        <v>0</v>
      </c>
      <c r="H75">
        <f t="shared" si="1"/>
        <v>0.308</v>
      </c>
    </row>
    <row r="76" spans="1:8" x14ac:dyDescent="0.3">
      <c r="A76" t="s">
        <v>24</v>
      </c>
      <c r="B76" t="s">
        <v>1</v>
      </c>
      <c r="C76">
        <v>4</v>
      </c>
      <c r="D76">
        <v>73</v>
      </c>
      <c r="E76">
        <v>252</v>
      </c>
      <c r="F76">
        <v>35.700000000000003</v>
      </c>
      <c r="G76" t="s">
        <v>0</v>
      </c>
      <c r="H76">
        <f t="shared" si="1"/>
        <v>0.28968253968253971</v>
      </c>
    </row>
    <row r="77" spans="1:8" x14ac:dyDescent="0.3">
      <c r="A77" t="s">
        <v>100</v>
      </c>
      <c r="B77" t="s">
        <v>1</v>
      </c>
      <c r="C77">
        <v>4</v>
      </c>
      <c r="D77">
        <v>76</v>
      </c>
      <c r="E77">
        <v>250</v>
      </c>
      <c r="F77">
        <v>42.8</v>
      </c>
      <c r="G77" t="s">
        <v>0</v>
      </c>
      <c r="H77">
        <f t="shared" si="1"/>
        <v>0.30399999999999999</v>
      </c>
    </row>
    <row r="78" spans="1:8" x14ac:dyDescent="0.3">
      <c r="A78" t="s">
        <v>60</v>
      </c>
      <c r="B78" t="s">
        <v>1</v>
      </c>
      <c r="C78">
        <v>4</v>
      </c>
      <c r="D78">
        <v>74</v>
      </c>
      <c r="E78">
        <v>254</v>
      </c>
      <c r="F78">
        <v>42.9</v>
      </c>
      <c r="G78" t="s">
        <v>0</v>
      </c>
      <c r="H78">
        <f t="shared" si="1"/>
        <v>0.29133858267716534</v>
      </c>
    </row>
    <row r="79" spans="1:8" x14ac:dyDescent="0.3">
      <c r="A79" t="s">
        <v>20</v>
      </c>
      <c r="B79" t="s">
        <v>1</v>
      </c>
      <c r="C79">
        <v>4</v>
      </c>
      <c r="D79">
        <v>74</v>
      </c>
      <c r="E79">
        <v>257</v>
      </c>
      <c r="F79">
        <v>66.900000000000006</v>
      </c>
      <c r="G79" t="s">
        <v>0</v>
      </c>
      <c r="H79">
        <f t="shared" si="1"/>
        <v>0.28793774319066145</v>
      </c>
    </row>
    <row r="80" spans="1:8" x14ac:dyDescent="0.3">
      <c r="A80" t="s">
        <v>96</v>
      </c>
      <c r="B80" t="s">
        <v>1</v>
      </c>
      <c r="C80">
        <v>4</v>
      </c>
      <c r="D80">
        <v>72</v>
      </c>
      <c r="E80">
        <v>253</v>
      </c>
      <c r="F80">
        <v>35.200000000000003</v>
      </c>
      <c r="G80" t="s">
        <v>0</v>
      </c>
      <c r="H80">
        <f t="shared" si="1"/>
        <v>0.28458498023715417</v>
      </c>
    </row>
    <row r="81" spans="1:8" x14ac:dyDescent="0.3">
      <c r="A81" t="s">
        <v>56</v>
      </c>
      <c r="B81" t="s">
        <v>1</v>
      </c>
      <c r="C81">
        <v>4</v>
      </c>
      <c r="D81">
        <v>74</v>
      </c>
      <c r="E81">
        <v>256</v>
      </c>
      <c r="F81">
        <v>47.3</v>
      </c>
      <c r="G81" t="s">
        <v>0</v>
      </c>
      <c r="H81">
        <f t="shared" si="1"/>
        <v>0.2890625</v>
      </c>
    </row>
    <row r="82" spans="1:8" x14ac:dyDescent="0.3">
      <c r="A82" t="s">
        <v>16</v>
      </c>
      <c r="B82" t="s">
        <v>1</v>
      </c>
      <c r="C82">
        <v>4</v>
      </c>
      <c r="D82">
        <v>75</v>
      </c>
      <c r="E82">
        <v>253</v>
      </c>
      <c r="F82">
        <v>45.1</v>
      </c>
      <c r="G82" t="s">
        <v>0</v>
      </c>
      <c r="H82">
        <f t="shared" si="1"/>
        <v>0.29644268774703558</v>
      </c>
    </row>
    <row r="83" spans="1:8" x14ac:dyDescent="0.3">
      <c r="A83" t="s">
        <v>92</v>
      </c>
      <c r="B83" t="s">
        <v>1</v>
      </c>
      <c r="C83">
        <v>4</v>
      </c>
      <c r="D83">
        <v>73</v>
      </c>
      <c r="E83">
        <v>255</v>
      </c>
      <c r="F83">
        <v>25.5</v>
      </c>
      <c r="G83" t="s">
        <v>0</v>
      </c>
      <c r="H83">
        <f t="shared" si="1"/>
        <v>0.28627450980392155</v>
      </c>
    </row>
    <row r="84" spans="1:8" x14ac:dyDescent="0.3">
      <c r="A84" t="s">
        <v>52</v>
      </c>
      <c r="B84" t="s">
        <v>1</v>
      </c>
      <c r="C84">
        <v>4</v>
      </c>
      <c r="D84">
        <v>66</v>
      </c>
      <c r="E84">
        <v>250</v>
      </c>
      <c r="F84">
        <v>52.8</v>
      </c>
      <c r="G84" t="s">
        <v>0</v>
      </c>
      <c r="H84">
        <f t="shared" si="1"/>
        <v>0.26400000000000001</v>
      </c>
    </row>
    <row r="85" spans="1:8" x14ac:dyDescent="0.3">
      <c r="A85" t="s">
        <v>12</v>
      </c>
      <c r="B85" t="s">
        <v>1</v>
      </c>
      <c r="C85">
        <v>4</v>
      </c>
      <c r="D85">
        <v>71</v>
      </c>
      <c r="E85">
        <v>253</v>
      </c>
      <c r="F85">
        <v>19.399999999999999</v>
      </c>
      <c r="G85" t="s">
        <v>0</v>
      </c>
      <c r="H85">
        <f t="shared" si="1"/>
        <v>0.28063241106719367</v>
      </c>
    </row>
    <row r="86" spans="1:8" x14ac:dyDescent="0.3">
      <c r="A86" t="s">
        <v>88</v>
      </c>
      <c r="B86" t="s">
        <v>1</v>
      </c>
      <c r="C86">
        <v>4</v>
      </c>
      <c r="D86">
        <v>74</v>
      </c>
      <c r="E86">
        <v>251</v>
      </c>
      <c r="F86">
        <v>34.299999999999997</v>
      </c>
      <c r="G86" t="s">
        <v>0</v>
      </c>
      <c r="H86">
        <f t="shared" si="1"/>
        <v>0.29482071713147412</v>
      </c>
    </row>
    <row r="87" spans="1:8" x14ac:dyDescent="0.3">
      <c r="A87" t="s">
        <v>48</v>
      </c>
      <c r="B87" t="s">
        <v>1</v>
      </c>
      <c r="C87">
        <v>4</v>
      </c>
      <c r="D87">
        <v>71</v>
      </c>
      <c r="E87">
        <v>251</v>
      </c>
      <c r="F87">
        <v>37.1</v>
      </c>
      <c r="G87" t="s">
        <v>0</v>
      </c>
      <c r="H87">
        <f t="shared" si="1"/>
        <v>0.28286852589641437</v>
      </c>
    </row>
    <row r="88" spans="1:8" x14ac:dyDescent="0.3">
      <c r="A88" t="s">
        <v>7</v>
      </c>
      <c r="B88" t="s">
        <v>1</v>
      </c>
      <c r="C88">
        <v>4</v>
      </c>
      <c r="D88">
        <v>72</v>
      </c>
      <c r="E88">
        <v>257</v>
      </c>
      <c r="F88">
        <v>49.8</v>
      </c>
      <c r="G88" t="s">
        <v>0</v>
      </c>
      <c r="H88">
        <f t="shared" si="1"/>
        <v>0.28015564202334631</v>
      </c>
    </row>
    <row r="89" spans="1:8" x14ac:dyDescent="0.3">
      <c r="A89" t="s">
        <v>84</v>
      </c>
      <c r="B89" t="s">
        <v>1</v>
      </c>
      <c r="C89">
        <v>4</v>
      </c>
      <c r="D89">
        <v>73</v>
      </c>
      <c r="E89">
        <v>254</v>
      </c>
      <c r="F89">
        <v>33.5</v>
      </c>
      <c r="G89" t="s">
        <v>0</v>
      </c>
      <c r="H89">
        <f t="shared" si="1"/>
        <v>0.2874015748031496</v>
      </c>
    </row>
    <row r="90" spans="1:8" x14ac:dyDescent="0.3">
      <c r="A90" t="s">
        <v>44</v>
      </c>
      <c r="B90" t="s">
        <v>1</v>
      </c>
      <c r="C90">
        <v>4</v>
      </c>
      <c r="D90">
        <v>76</v>
      </c>
      <c r="E90">
        <v>251</v>
      </c>
      <c r="F90">
        <v>35.1</v>
      </c>
      <c r="G90" t="s">
        <v>0</v>
      </c>
      <c r="H90">
        <f t="shared" si="1"/>
        <v>0.30278884462151395</v>
      </c>
    </row>
    <row r="91" spans="1:8" x14ac:dyDescent="0.3">
      <c r="A91" t="s">
        <v>3</v>
      </c>
      <c r="B91" t="s">
        <v>1</v>
      </c>
      <c r="C91">
        <v>4</v>
      </c>
      <c r="D91">
        <v>73</v>
      </c>
      <c r="E91">
        <v>251</v>
      </c>
      <c r="F91">
        <v>17.899999999999999</v>
      </c>
      <c r="G91" t="s">
        <v>0</v>
      </c>
      <c r="H91">
        <f t="shared" si="1"/>
        <v>0.2908366533864542</v>
      </c>
    </row>
    <row r="92" spans="1:8" x14ac:dyDescent="0.3">
      <c r="A92" t="s">
        <v>115</v>
      </c>
      <c r="B92" t="s">
        <v>1</v>
      </c>
      <c r="C92">
        <v>5</v>
      </c>
      <c r="D92">
        <v>86</v>
      </c>
      <c r="E92">
        <v>250</v>
      </c>
      <c r="F92">
        <v>34.4</v>
      </c>
      <c r="G92" t="s">
        <v>0</v>
      </c>
      <c r="H92">
        <f t="shared" si="1"/>
        <v>0.34399999999999997</v>
      </c>
    </row>
    <row r="93" spans="1:8" x14ac:dyDescent="0.3">
      <c r="A93" t="s">
        <v>75</v>
      </c>
      <c r="B93" t="s">
        <v>1</v>
      </c>
      <c r="C93">
        <v>5</v>
      </c>
      <c r="D93">
        <v>89</v>
      </c>
      <c r="E93">
        <v>253</v>
      </c>
      <c r="F93">
        <v>33.200000000000003</v>
      </c>
      <c r="G93" t="s">
        <v>0</v>
      </c>
      <c r="H93">
        <f t="shared" si="1"/>
        <v>0.35177865612648224</v>
      </c>
    </row>
    <row r="94" spans="1:8" x14ac:dyDescent="0.3">
      <c r="A94" t="s">
        <v>35</v>
      </c>
      <c r="B94" t="s">
        <v>1</v>
      </c>
      <c r="C94">
        <v>5</v>
      </c>
      <c r="D94">
        <v>82</v>
      </c>
      <c r="E94">
        <v>250</v>
      </c>
      <c r="F94">
        <v>38.4</v>
      </c>
      <c r="G94" t="s">
        <v>0</v>
      </c>
      <c r="H94">
        <f t="shared" si="1"/>
        <v>0.32800000000000001</v>
      </c>
    </row>
    <row r="95" spans="1:8" x14ac:dyDescent="0.3">
      <c r="A95" t="s">
        <v>119</v>
      </c>
      <c r="B95" t="s">
        <v>1</v>
      </c>
      <c r="C95">
        <v>5</v>
      </c>
      <c r="D95">
        <v>86</v>
      </c>
      <c r="E95">
        <v>252</v>
      </c>
      <c r="F95">
        <v>39.299999999999997</v>
      </c>
      <c r="G95" t="s">
        <v>0</v>
      </c>
      <c r="H95">
        <f t="shared" si="1"/>
        <v>0.34126984126984128</v>
      </c>
    </row>
    <row r="96" spans="1:8" x14ac:dyDescent="0.3">
      <c r="A96" t="s">
        <v>79</v>
      </c>
      <c r="B96" t="s">
        <v>1</v>
      </c>
      <c r="C96">
        <v>5</v>
      </c>
      <c r="D96">
        <v>84</v>
      </c>
      <c r="E96">
        <v>250</v>
      </c>
      <c r="F96">
        <v>32</v>
      </c>
      <c r="G96" t="s">
        <v>0</v>
      </c>
      <c r="H96">
        <f t="shared" si="1"/>
        <v>0.33600000000000002</v>
      </c>
    </row>
    <row r="97" spans="1:8" x14ac:dyDescent="0.3">
      <c r="A97" t="s">
        <v>39</v>
      </c>
      <c r="B97" t="s">
        <v>1</v>
      </c>
      <c r="C97">
        <v>5</v>
      </c>
      <c r="D97">
        <v>84</v>
      </c>
      <c r="E97">
        <v>256</v>
      </c>
      <c r="F97">
        <v>45.3</v>
      </c>
      <c r="G97" t="s">
        <v>0</v>
      </c>
      <c r="H97">
        <f t="shared" si="1"/>
        <v>0.328125</v>
      </c>
    </row>
    <row r="98" spans="1:8" x14ac:dyDescent="0.3">
      <c r="A98" t="s">
        <v>111</v>
      </c>
      <c r="B98" t="s">
        <v>1</v>
      </c>
      <c r="C98">
        <v>5</v>
      </c>
      <c r="D98">
        <v>90</v>
      </c>
      <c r="E98">
        <v>250</v>
      </c>
      <c r="F98">
        <v>49.2</v>
      </c>
      <c r="G98" t="s">
        <v>0</v>
      </c>
      <c r="H98">
        <f t="shared" si="1"/>
        <v>0.36</v>
      </c>
    </row>
    <row r="99" spans="1:8" x14ac:dyDescent="0.3">
      <c r="A99" t="s">
        <v>71</v>
      </c>
      <c r="B99" t="s">
        <v>1</v>
      </c>
      <c r="C99">
        <v>5</v>
      </c>
      <c r="D99">
        <v>84</v>
      </c>
      <c r="E99">
        <v>253</v>
      </c>
      <c r="F99">
        <v>44.3</v>
      </c>
      <c r="G99" t="s">
        <v>0</v>
      </c>
      <c r="H99">
        <f t="shared" si="1"/>
        <v>0.33201581027667987</v>
      </c>
    </row>
    <row r="100" spans="1:8" x14ac:dyDescent="0.3">
      <c r="A100" t="s">
        <v>31</v>
      </c>
      <c r="B100" t="s">
        <v>1</v>
      </c>
      <c r="C100">
        <v>5</v>
      </c>
      <c r="D100">
        <v>83</v>
      </c>
      <c r="E100">
        <v>254</v>
      </c>
      <c r="F100">
        <v>11.8</v>
      </c>
      <c r="G100" t="s">
        <v>0</v>
      </c>
      <c r="H100">
        <f t="shared" si="1"/>
        <v>0.32677165354330706</v>
      </c>
    </row>
    <row r="101" spans="1:8" x14ac:dyDescent="0.3">
      <c r="A101" t="s">
        <v>107</v>
      </c>
      <c r="B101" t="s">
        <v>1</v>
      </c>
      <c r="C101">
        <v>5</v>
      </c>
      <c r="D101">
        <v>85</v>
      </c>
      <c r="E101">
        <v>253</v>
      </c>
      <c r="F101">
        <v>22.5</v>
      </c>
      <c r="G101" t="s">
        <v>0</v>
      </c>
      <c r="H101">
        <f t="shared" si="1"/>
        <v>0.33596837944664032</v>
      </c>
    </row>
    <row r="102" spans="1:8" x14ac:dyDescent="0.3">
      <c r="A102" t="s">
        <v>67</v>
      </c>
      <c r="B102" t="s">
        <v>1</v>
      </c>
      <c r="C102">
        <v>5</v>
      </c>
      <c r="D102">
        <v>91</v>
      </c>
      <c r="E102">
        <v>258</v>
      </c>
      <c r="F102">
        <v>27.9</v>
      </c>
      <c r="G102" t="s">
        <v>0</v>
      </c>
      <c r="H102">
        <f t="shared" si="1"/>
        <v>0.35271317829457366</v>
      </c>
    </row>
    <row r="103" spans="1:8" x14ac:dyDescent="0.3">
      <c r="A103" t="s">
        <v>27</v>
      </c>
      <c r="B103" t="s">
        <v>1</v>
      </c>
      <c r="C103">
        <v>5</v>
      </c>
      <c r="D103">
        <v>85</v>
      </c>
      <c r="E103">
        <v>251</v>
      </c>
      <c r="F103">
        <v>18.3</v>
      </c>
      <c r="G103" t="s">
        <v>0</v>
      </c>
      <c r="H103">
        <f t="shared" si="1"/>
        <v>0.3386454183266932</v>
      </c>
    </row>
    <row r="104" spans="1:8" x14ac:dyDescent="0.3">
      <c r="A104" t="s">
        <v>103</v>
      </c>
      <c r="B104" t="s">
        <v>1</v>
      </c>
      <c r="C104">
        <v>5</v>
      </c>
      <c r="D104">
        <v>85</v>
      </c>
      <c r="E104">
        <v>254</v>
      </c>
      <c r="F104">
        <v>15.7</v>
      </c>
      <c r="G104" t="s">
        <v>0</v>
      </c>
      <c r="H104">
        <f t="shared" si="1"/>
        <v>0.3346456692913386</v>
      </c>
    </row>
    <row r="105" spans="1:8" x14ac:dyDescent="0.3">
      <c r="A105" t="s">
        <v>63</v>
      </c>
      <c r="B105" t="s">
        <v>1</v>
      </c>
      <c r="C105">
        <v>5</v>
      </c>
      <c r="D105">
        <v>86</v>
      </c>
      <c r="E105">
        <v>250</v>
      </c>
      <c r="F105">
        <v>24.8</v>
      </c>
      <c r="G105" t="s">
        <v>0</v>
      </c>
      <c r="H105">
        <f t="shared" si="1"/>
        <v>0.34399999999999997</v>
      </c>
    </row>
    <row r="106" spans="1:8" x14ac:dyDescent="0.3">
      <c r="A106" t="s">
        <v>23</v>
      </c>
      <c r="B106" t="s">
        <v>1</v>
      </c>
      <c r="C106">
        <v>5</v>
      </c>
      <c r="D106">
        <v>86</v>
      </c>
      <c r="E106">
        <v>252</v>
      </c>
      <c r="F106">
        <v>25.8</v>
      </c>
      <c r="G106" t="s">
        <v>0</v>
      </c>
      <c r="H106">
        <f t="shared" si="1"/>
        <v>0.34126984126984128</v>
      </c>
    </row>
    <row r="107" spans="1:8" x14ac:dyDescent="0.3">
      <c r="A107" t="s">
        <v>99</v>
      </c>
      <c r="B107" t="s">
        <v>1</v>
      </c>
      <c r="C107">
        <v>5</v>
      </c>
      <c r="D107">
        <v>83</v>
      </c>
      <c r="E107">
        <v>250</v>
      </c>
      <c r="F107">
        <v>46</v>
      </c>
      <c r="G107" t="s">
        <v>0</v>
      </c>
      <c r="H107">
        <f t="shared" si="1"/>
        <v>0.33200000000000002</v>
      </c>
    </row>
    <row r="108" spans="1:8" x14ac:dyDescent="0.3">
      <c r="A108" t="s">
        <v>59</v>
      </c>
      <c r="B108" t="s">
        <v>1</v>
      </c>
      <c r="C108">
        <v>5</v>
      </c>
      <c r="D108">
        <v>87</v>
      </c>
      <c r="E108">
        <v>254</v>
      </c>
      <c r="F108">
        <v>26.8</v>
      </c>
      <c r="G108" t="s">
        <v>0</v>
      </c>
      <c r="H108">
        <f t="shared" si="1"/>
        <v>0.34251968503937008</v>
      </c>
    </row>
    <row r="109" spans="1:8" x14ac:dyDescent="0.3">
      <c r="A109" t="s">
        <v>19</v>
      </c>
      <c r="B109" t="s">
        <v>1</v>
      </c>
      <c r="C109">
        <v>5</v>
      </c>
      <c r="D109">
        <v>84</v>
      </c>
      <c r="E109">
        <v>257</v>
      </c>
      <c r="F109">
        <v>45.5</v>
      </c>
      <c r="G109" t="s">
        <v>0</v>
      </c>
      <c r="H109">
        <f t="shared" si="1"/>
        <v>0.32684824902723736</v>
      </c>
    </row>
    <row r="110" spans="1:8" x14ac:dyDescent="0.3">
      <c r="A110" t="s">
        <v>95</v>
      </c>
      <c r="B110" t="s">
        <v>1</v>
      </c>
      <c r="C110">
        <v>5</v>
      </c>
      <c r="D110">
        <v>84</v>
      </c>
      <c r="E110">
        <v>253</v>
      </c>
      <c r="F110">
        <v>25.3</v>
      </c>
      <c r="G110" t="s">
        <v>0</v>
      </c>
      <c r="H110">
        <f t="shared" si="1"/>
        <v>0.33201581027667987</v>
      </c>
    </row>
    <row r="111" spans="1:8" x14ac:dyDescent="0.3">
      <c r="A111" t="s">
        <v>55</v>
      </c>
      <c r="B111" t="s">
        <v>1</v>
      </c>
      <c r="C111">
        <v>5</v>
      </c>
      <c r="D111">
        <v>85</v>
      </c>
      <c r="E111">
        <v>256</v>
      </c>
      <c r="F111">
        <v>36.700000000000003</v>
      </c>
      <c r="G111" t="s">
        <v>0</v>
      </c>
      <c r="H111">
        <f t="shared" si="1"/>
        <v>0.33203125</v>
      </c>
    </row>
    <row r="112" spans="1:8" x14ac:dyDescent="0.3">
      <c r="A112" t="s">
        <v>15</v>
      </c>
      <c r="B112" t="s">
        <v>1</v>
      </c>
      <c r="C112">
        <v>5</v>
      </c>
      <c r="D112">
        <v>86</v>
      </c>
      <c r="E112">
        <v>253</v>
      </c>
      <c r="F112">
        <v>36.4</v>
      </c>
      <c r="G112" t="s">
        <v>0</v>
      </c>
      <c r="H112">
        <f t="shared" si="1"/>
        <v>0.33992094861660077</v>
      </c>
    </row>
    <row r="113" spans="1:8" x14ac:dyDescent="0.3">
      <c r="A113" t="s">
        <v>91</v>
      </c>
      <c r="B113" t="s">
        <v>1</v>
      </c>
      <c r="C113">
        <v>5</v>
      </c>
      <c r="D113">
        <v>85</v>
      </c>
      <c r="E113">
        <v>255</v>
      </c>
      <c r="F113">
        <v>25.5</v>
      </c>
      <c r="G113" t="s">
        <v>0</v>
      </c>
      <c r="H113">
        <f t="shared" si="1"/>
        <v>0.33333333333333331</v>
      </c>
    </row>
    <row r="114" spans="1:8" x14ac:dyDescent="0.3">
      <c r="A114" t="s">
        <v>51</v>
      </c>
      <c r="B114" t="s">
        <v>1</v>
      </c>
      <c r="C114">
        <v>5</v>
      </c>
      <c r="D114">
        <v>82</v>
      </c>
      <c r="E114">
        <v>250</v>
      </c>
      <c r="F114">
        <v>48</v>
      </c>
      <c r="G114" t="s">
        <v>0</v>
      </c>
      <c r="H114">
        <f t="shared" si="1"/>
        <v>0.32800000000000001</v>
      </c>
    </row>
    <row r="115" spans="1:8" x14ac:dyDescent="0.3">
      <c r="A115" t="s">
        <v>11</v>
      </c>
      <c r="B115" t="s">
        <v>1</v>
      </c>
      <c r="C115">
        <v>5</v>
      </c>
      <c r="D115">
        <v>82</v>
      </c>
      <c r="E115">
        <v>253</v>
      </c>
      <c r="F115">
        <v>15</v>
      </c>
      <c r="G115" t="s">
        <v>0</v>
      </c>
      <c r="H115">
        <f t="shared" si="1"/>
        <v>0.32411067193675891</v>
      </c>
    </row>
    <row r="116" spans="1:8" x14ac:dyDescent="0.3">
      <c r="A116" t="s">
        <v>87</v>
      </c>
      <c r="B116" t="s">
        <v>1</v>
      </c>
      <c r="C116">
        <v>5</v>
      </c>
      <c r="D116">
        <v>85</v>
      </c>
      <c r="E116">
        <v>251</v>
      </c>
      <c r="F116">
        <v>24.3</v>
      </c>
      <c r="G116" t="s">
        <v>0</v>
      </c>
      <c r="H116">
        <f t="shared" si="1"/>
        <v>0.3386454183266932</v>
      </c>
    </row>
    <row r="117" spans="1:8" x14ac:dyDescent="0.3">
      <c r="A117" t="s">
        <v>47</v>
      </c>
      <c r="B117" t="s">
        <v>1</v>
      </c>
      <c r="C117">
        <v>5</v>
      </c>
      <c r="D117">
        <v>86</v>
      </c>
      <c r="E117">
        <v>251</v>
      </c>
      <c r="F117">
        <v>37.5</v>
      </c>
      <c r="G117" t="s">
        <v>0</v>
      </c>
      <c r="H117">
        <f t="shared" si="1"/>
        <v>0.34262948207171312</v>
      </c>
    </row>
    <row r="118" spans="1:8" x14ac:dyDescent="0.3">
      <c r="A118" t="s">
        <v>6</v>
      </c>
      <c r="B118" t="s">
        <v>1</v>
      </c>
      <c r="C118">
        <v>5</v>
      </c>
      <c r="D118">
        <v>96</v>
      </c>
      <c r="E118">
        <v>257</v>
      </c>
      <c r="F118">
        <v>40.9</v>
      </c>
      <c r="G118" t="s">
        <v>0</v>
      </c>
      <c r="H118">
        <f t="shared" si="1"/>
        <v>0.37354085603112841</v>
      </c>
    </row>
    <row r="119" spans="1:8" x14ac:dyDescent="0.3">
      <c r="A119" t="s">
        <v>83</v>
      </c>
      <c r="B119" t="s">
        <v>1</v>
      </c>
      <c r="C119">
        <v>5</v>
      </c>
      <c r="D119">
        <v>88</v>
      </c>
      <c r="E119">
        <v>254</v>
      </c>
      <c r="F119">
        <v>28</v>
      </c>
      <c r="G119" t="s">
        <v>0</v>
      </c>
      <c r="H119">
        <f t="shared" si="1"/>
        <v>0.34645669291338582</v>
      </c>
    </row>
    <row r="120" spans="1:8" x14ac:dyDescent="0.3">
      <c r="A120" t="s">
        <v>43</v>
      </c>
      <c r="B120" t="s">
        <v>1</v>
      </c>
      <c r="C120">
        <v>5</v>
      </c>
      <c r="D120">
        <v>91</v>
      </c>
      <c r="E120">
        <v>251</v>
      </c>
      <c r="F120">
        <v>7.2</v>
      </c>
      <c r="G120" t="s">
        <v>0</v>
      </c>
      <c r="H120">
        <f t="shared" si="1"/>
        <v>0.36254980079681276</v>
      </c>
    </row>
    <row r="121" spans="1:8" x14ac:dyDescent="0.3">
      <c r="A121" t="s">
        <v>2</v>
      </c>
      <c r="B121" t="s">
        <v>1</v>
      </c>
      <c r="C121">
        <v>5</v>
      </c>
      <c r="D121">
        <v>87</v>
      </c>
      <c r="E121">
        <v>251</v>
      </c>
      <c r="F121">
        <v>21.9</v>
      </c>
      <c r="G121" t="s">
        <v>0</v>
      </c>
      <c r="H121">
        <f t="shared" si="1"/>
        <v>0.34661354581673309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E061-40CD-4556-A4F9-9C981BE17E18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129</v>
      </c>
      <c r="B1" t="s">
        <v>128</v>
      </c>
      <c r="C1" t="s">
        <v>127</v>
      </c>
      <c r="D1" t="s">
        <v>126</v>
      </c>
      <c r="E1" t="s">
        <v>125</v>
      </c>
      <c r="F1" t="s">
        <v>124</v>
      </c>
      <c r="G1" t="s">
        <v>123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366</v>
      </c>
      <c r="B2" t="s">
        <v>130</v>
      </c>
      <c r="C2">
        <v>0.3</v>
      </c>
      <c r="D2">
        <v>41</v>
      </c>
      <c r="E2">
        <v>250</v>
      </c>
      <c r="F2">
        <v>32.799999999999997</v>
      </c>
      <c r="G2" t="s">
        <v>0</v>
      </c>
      <c r="H2">
        <f>D2/E2</f>
        <v>0.16400000000000001</v>
      </c>
      <c r="J2" t="s">
        <v>1241</v>
      </c>
      <c r="K2">
        <f>AVERAGE(F2:F31)</f>
        <v>74.493333333333339</v>
      </c>
      <c r="L2">
        <f>MIN(F2:F31)</f>
        <v>31.6</v>
      </c>
      <c r="M2">
        <f>MAX(F2:F31)</f>
        <v>100</v>
      </c>
      <c r="N2">
        <f>AVERAGE(H2:H31)</f>
        <v>0.16077694792106362</v>
      </c>
    </row>
    <row r="3" spans="1:14" x14ac:dyDescent="0.3">
      <c r="A3" t="s">
        <v>326</v>
      </c>
      <c r="B3" t="s">
        <v>130</v>
      </c>
      <c r="C3">
        <v>0.3</v>
      </c>
      <c r="D3">
        <v>42</v>
      </c>
      <c r="E3">
        <v>253</v>
      </c>
      <c r="F3">
        <v>40.700000000000003</v>
      </c>
      <c r="G3" t="s">
        <v>0</v>
      </c>
      <c r="H3">
        <f t="shared" ref="H3:H66" si="0">D3/E3</f>
        <v>0.16600790513833993</v>
      </c>
      <c r="J3" t="s">
        <v>1242</v>
      </c>
      <c r="K3">
        <f>AVERAGE(F32:F61)</f>
        <v>20.230000000000004</v>
      </c>
      <c r="L3">
        <f>MIN(F32:F61)</f>
        <v>0.8</v>
      </c>
      <c r="M3">
        <f>MAX(F32:F61)</f>
        <v>52</v>
      </c>
      <c r="N3">
        <f>AVERAGE(H32:H61)</f>
        <v>0.27487711235650075</v>
      </c>
    </row>
    <row r="4" spans="1:14" x14ac:dyDescent="0.3">
      <c r="A4" t="s">
        <v>286</v>
      </c>
      <c r="B4" t="s">
        <v>130</v>
      </c>
      <c r="C4">
        <v>0.3</v>
      </c>
      <c r="D4">
        <v>41</v>
      </c>
      <c r="E4">
        <v>250</v>
      </c>
      <c r="F4">
        <v>91.6</v>
      </c>
      <c r="G4" t="s">
        <v>9</v>
      </c>
      <c r="H4">
        <f t="shared" si="0"/>
        <v>0.16400000000000001</v>
      </c>
      <c r="J4" t="s">
        <v>1243</v>
      </c>
      <c r="K4">
        <f>AVERAGE(F62:F91)</f>
        <v>14.876666666666669</v>
      </c>
      <c r="L4">
        <f>MIN(F62:F91)</f>
        <v>3.6</v>
      </c>
      <c r="M4">
        <f>MAX(F62:F91)</f>
        <v>48.6</v>
      </c>
      <c r="N4">
        <f>AVERAGE(H62:H91)</f>
        <v>0.36559449824587797</v>
      </c>
    </row>
    <row r="5" spans="1:14" x14ac:dyDescent="0.3">
      <c r="A5" t="s">
        <v>370</v>
      </c>
      <c r="B5" t="s">
        <v>130</v>
      </c>
      <c r="C5">
        <v>0.3</v>
      </c>
      <c r="D5">
        <v>40</v>
      </c>
      <c r="E5">
        <v>252</v>
      </c>
      <c r="F5">
        <v>97.6</v>
      </c>
      <c r="G5" t="s">
        <v>9</v>
      </c>
      <c r="H5">
        <f t="shared" si="0"/>
        <v>0.15873015873015872</v>
      </c>
      <c r="J5" t="s">
        <v>1244</v>
      </c>
      <c r="K5">
        <f>AVERAGE(F92:F121)</f>
        <v>10.716666666666667</v>
      </c>
      <c r="L5">
        <f>MIN(F92:F121)</f>
        <v>3.2</v>
      </c>
      <c r="M5">
        <f>MAX(F92:F121)</f>
        <v>27.9</v>
      </c>
      <c r="N5">
        <f>AVERAGE(H92:H121)</f>
        <v>0.44790094100717959</v>
      </c>
    </row>
    <row r="6" spans="1:14" x14ac:dyDescent="0.3">
      <c r="A6" t="s">
        <v>330</v>
      </c>
      <c r="B6" t="s">
        <v>130</v>
      </c>
      <c r="C6">
        <v>0.3</v>
      </c>
      <c r="D6">
        <v>41</v>
      </c>
      <c r="E6">
        <v>250</v>
      </c>
      <c r="F6">
        <v>61.2</v>
      </c>
      <c r="G6" t="s">
        <v>0</v>
      </c>
      <c r="H6">
        <f t="shared" si="0"/>
        <v>0.16400000000000001</v>
      </c>
    </row>
    <row r="7" spans="1:14" x14ac:dyDescent="0.3">
      <c r="A7" t="s">
        <v>290</v>
      </c>
      <c r="B7" t="s">
        <v>130</v>
      </c>
      <c r="C7">
        <v>0.3</v>
      </c>
      <c r="D7">
        <v>41</v>
      </c>
      <c r="E7">
        <v>256</v>
      </c>
      <c r="F7">
        <v>94.1</v>
      </c>
      <c r="G7" t="s">
        <v>9</v>
      </c>
      <c r="H7">
        <f t="shared" si="0"/>
        <v>0.16015625</v>
      </c>
    </row>
    <row r="8" spans="1:14" x14ac:dyDescent="0.3">
      <c r="A8" t="s">
        <v>362</v>
      </c>
      <c r="B8" t="s">
        <v>130</v>
      </c>
      <c r="C8">
        <v>0.3</v>
      </c>
      <c r="D8">
        <v>42</v>
      </c>
      <c r="E8">
        <v>250</v>
      </c>
      <c r="F8">
        <v>63.6</v>
      </c>
      <c r="G8" t="s">
        <v>0</v>
      </c>
      <c r="H8">
        <f t="shared" si="0"/>
        <v>0.16800000000000001</v>
      </c>
    </row>
    <row r="9" spans="1:14" x14ac:dyDescent="0.3">
      <c r="A9" t="s">
        <v>322</v>
      </c>
      <c r="B9" t="s">
        <v>130</v>
      </c>
      <c r="C9">
        <v>0.3</v>
      </c>
      <c r="D9">
        <v>41</v>
      </c>
      <c r="E9">
        <v>253</v>
      </c>
      <c r="F9">
        <v>31.6</v>
      </c>
      <c r="G9" t="s">
        <v>0</v>
      </c>
      <c r="H9">
        <f t="shared" si="0"/>
        <v>0.16205533596837945</v>
      </c>
    </row>
    <row r="10" spans="1:14" x14ac:dyDescent="0.3">
      <c r="A10" t="s">
        <v>282</v>
      </c>
      <c r="B10" t="s">
        <v>130</v>
      </c>
      <c r="C10">
        <v>0.3</v>
      </c>
      <c r="D10">
        <v>39</v>
      </c>
      <c r="E10">
        <v>254</v>
      </c>
      <c r="F10">
        <v>39.4</v>
      </c>
      <c r="G10" t="s">
        <v>0</v>
      </c>
      <c r="H10">
        <f t="shared" si="0"/>
        <v>0.15354330708661418</v>
      </c>
    </row>
    <row r="11" spans="1:14" x14ac:dyDescent="0.3">
      <c r="A11" t="s">
        <v>358</v>
      </c>
      <c r="B11" t="s">
        <v>130</v>
      </c>
      <c r="C11">
        <v>0.3</v>
      </c>
      <c r="D11">
        <v>40</v>
      </c>
      <c r="E11">
        <v>253</v>
      </c>
      <c r="F11">
        <v>96.4</v>
      </c>
      <c r="G11" t="s">
        <v>9</v>
      </c>
      <c r="H11">
        <f t="shared" si="0"/>
        <v>0.15810276679841898</v>
      </c>
    </row>
    <row r="12" spans="1:14" x14ac:dyDescent="0.3">
      <c r="A12" t="s">
        <v>318</v>
      </c>
      <c r="B12" t="s">
        <v>130</v>
      </c>
      <c r="C12">
        <v>0.3</v>
      </c>
      <c r="D12">
        <v>42</v>
      </c>
      <c r="E12">
        <v>258</v>
      </c>
      <c r="F12">
        <v>99.2</v>
      </c>
      <c r="G12" t="s">
        <v>9</v>
      </c>
      <c r="H12">
        <f t="shared" si="0"/>
        <v>0.16279069767441862</v>
      </c>
    </row>
    <row r="13" spans="1:14" x14ac:dyDescent="0.3">
      <c r="A13" t="s">
        <v>278</v>
      </c>
      <c r="B13" t="s">
        <v>130</v>
      </c>
      <c r="C13">
        <v>0.3</v>
      </c>
      <c r="D13">
        <v>40</v>
      </c>
      <c r="E13">
        <v>251</v>
      </c>
      <c r="F13">
        <v>96.8</v>
      </c>
      <c r="G13" t="s">
        <v>9</v>
      </c>
      <c r="H13">
        <f t="shared" si="0"/>
        <v>0.15936254980079681</v>
      </c>
    </row>
    <row r="14" spans="1:14" x14ac:dyDescent="0.3">
      <c r="A14" t="s">
        <v>354</v>
      </c>
      <c r="B14" t="s">
        <v>130</v>
      </c>
      <c r="C14">
        <v>0.3</v>
      </c>
      <c r="D14">
        <v>39</v>
      </c>
      <c r="E14">
        <v>254</v>
      </c>
      <c r="F14">
        <v>32.299999999999997</v>
      </c>
      <c r="G14" t="s">
        <v>0</v>
      </c>
      <c r="H14">
        <f t="shared" si="0"/>
        <v>0.15354330708661418</v>
      </c>
    </row>
    <row r="15" spans="1:14" x14ac:dyDescent="0.3">
      <c r="A15" t="s">
        <v>314</v>
      </c>
      <c r="B15" t="s">
        <v>130</v>
      </c>
      <c r="C15">
        <v>0.3</v>
      </c>
      <c r="D15">
        <v>40</v>
      </c>
      <c r="E15">
        <v>250</v>
      </c>
      <c r="F15">
        <v>100</v>
      </c>
      <c r="G15" t="s">
        <v>9</v>
      </c>
      <c r="H15">
        <f t="shared" si="0"/>
        <v>0.16</v>
      </c>
    </row>
    <row r="16" spans="1:14" x14ac:dyDescent="0.3">
      <c r="A16" t="s">
        <v>274</v>
      </c>
      <c r="B16" t="s">
        <v>130</v>
      </c>
      <c r="C16">
        <v>0.3</v>
      </c>
      <c r="D16">
        <v>40</v>
      </c>
      <c r="E16">
        <v>252</v>
      </c>
      <c r="F16">
        <v>86.1</v>
      </c>
      <c r="G16" t="s">
        <v>9</v>
      </c>
      <c r="H16">
        <f t="shared" si="0"/>
        <v>0.15873015873015872</v>
      </c>
    </row>
    <row r="17" spans="1:8" x14ac:dyDescent="0.3">
      <c r="A17" t="s">
        <v>350</v>
      </c>
      <c r="B17" t="s">
        <v>130</v>
      </c>
      <c r="C17">
        <v>0.3</v>
      </c>
      <c r="D17">
        <v>39</v>
      </c>
      <c r="E17">
        <v>250</v>
      </c>
      <c r="F17">
        <v>75.599999999999994</v>
      </c>
      <c r="G17" t="s">
        <v>0</v>
      </c>
      <c r="H17">
        <f t="shared" si="0"/>
        <v>0.156</v>
      </c>
    </row>
    <row r="18" spans="1:8" x14ac:dyDescent="0.3">
      <c r="A18" t="s">
        <v>310</v>
      </c>
      <c r="B18" t="s">
        <v>130</v>
      </c>
      <c r="C18">
        <v>0.3</v>
      </c>
      <c r="D18">
        <v>43</v>
      </c>
      <c r="E18">
        <v>254</v>
      </c>
      <c r="F18">
        <v>87</v>
      </c>
      <c r="G18" t="s">
        <v>9</v>
      </c>
      <c r="H18">
        <f t="shared" si="0"/>
        <v>0.16929133858267717</v>
      </c>
    </row>
    <row r="19" spans="1:8" x14ac:dyDescent="0.3">
      <c r="A19" t="s">
        <v>270</v>
      </c>
      <c r="B19" t="s">
        <v>130</v>
      </c>
      <c r="C19">
        <v>0.3</v>
      </c>
      <c r="D19">
        <v>41</v>
      </c>
      <c r="E19">
        <v>257</v>
      </c>
      <c r="F19">
        <v>72.400000000000006</v>
      </c>
      <c r="G19" t="s">
        <v>0</v>
      </c>
      <c r="H19">
        <f t="shared" si="0"/>
        <v>0.15953307392996108</v>
      </c>
    </row>
    <row r="20" spans="1:8" x14ac:dyDescent="0.3">
      <c r="A20" t="s">
        <v>346</v>
      </c>
      <c r="B20" t="s">
        <v>130</v>
      </c>
      <c r="C20">
        <v>0.3</v>
      </c>
      <c r="D20">
        <v>40</v>
      </c>
      <c r="E20">
        <v>253</v>
      </c>
      <c r="F20">
        <v>57.7</v>
      </c>
      <c r="G20" t="s">
        <v>0</v>
      </c>
      <c r="H20">
        <f t="shared" si="0"/>
        <v>0.15810276679841898</v>
      </c>
    </row>
    <row r="21" spans="1:8" x14ac:dyDescent="0.3">
      <c r="A21" t="s">
        <v>306</v>
      </c>
      <c r="B21" t="s">
        <v>130</v>
      </c>
      <c r="C21">
        <v>0.3</v>
      </c>
      <c r="D21">
        <v>43</v>
      </c>
      <c r="E21">
        <v>256</v>
      </c>
      <c r="F21">
        <v>91.8</v>
      </c>
      <c r="G21" t="s">
        <v>9</v>
      </c>
      <c r="H21">
        <f t="shared" si="0"/>
        <v>0.16796875</v>
      </c>
    </row>
    <row r="22" spans="1:8" x14ac:dyDescent="0.3">
      <c r="A22" t="s">
        <v>266</v>
      </c>
      <c r="B22" t="s">
        <v>130</v>
      </c>
      <c r="C22">
        <v>0.3</v>
      </c>
      <c r="D22">
        <v>42</v>
      </c>
      <c r="E22">
        <v>253</v>
      </c>
      <c r="F22">
        <v>87.4</v>
      </c>
      <c r="G22" t="s">
        <v>9</v>
      </c>
      <c r="H22">
        <f t="shared" si="0"/>
        <v>0.16600790513833993</v>
      </c>
    </row>
    <row r="23" spans="1:8" x14ac:dyDescent="0.3">
      <c r="A23" t="s">
        <v>342</v>
      </c>
      <c r="B23" t="s">
        <v>130</v>
      </c>
      <c r="C23">
        <v>0.3</v>
      </c>
      <c r="D23">
        <v>41</v>
      </c>
      <c r="E23">
        <v>255</v>
      </c>
      <c r="F23">
        <v>90.6</v>
      </c>
      <c r="G23" t="s">
        <v>9</v>
      </c>
      <c r="H23">
        <f t="shared" si="0"/>
        <v>0.16078431372549021</v>
      </c>
    </row>
    <row r="24" spans="1:8" x14ac:dyDescent="0.3">
      <c r="A24" t="s">
        <v>302</v>
      </c>
      <c r="B24" t="s">
        <v>130</v>
      </c>
      <c r="C24">
        <v>0.3</v>
      </c>
      <c r="D24">
        <v>41</v>
      </c>
      <c r="E24">
        <v>250</v>
      </c>
      <c r="F24">
        <v>90</v>
      </c>
      <c r="G24" t="s">
        <v>9</v>
      </c>
      <c r="H24">
        <f t="shared" si="0"/>
        <v>0.16400000000000001</v>
      </c>
    </row>
    <row r="25" spans="1:8" x14ac:dyDescent="0.3">
      <c r="A25" t="s">
        <v>262</v>
      </c>
      <c r="B25" t="s">
        <v>130</v>
      </c>
      <c r="C25">
        <v>0.3</v>
      </c>
      <c r="D25">
        <v>41</v>
      </c>
      <c r="E25">
        <v>253</v>
      </c>
      <c r="F25">
        <v>60.1</v>
      </c>
      <c r="G25" t="s">
        <v>0</v>
      </c>
      <c r="H25">
        <f t="shared" si="0"/>
        <v>0.16205533596837945</v>
      </c>
    </row>
    <row r="26" spans="1:8" x14ac:dyDescent="0.3">
      <c r="A26" t="s">
        <v>338</v>
      </c>
      <c r="B26" t="s">
        <v>130</v>
      </c>
      <c r="C26">
        <v>0.3</v>
      </c>
      <c r="D26">
        <v>40</v>
      </c>
      <c r="E26">
        <v>251</v>
      </c>
      <c r="F26">
        <v>31.9</v>
      </c>
      <c r="G26" t="s">
        <v>0</v>
      </c>
      <c r="H26">
        <f t="shared" si="0"/>
        <v>0.15936254980079681</v>
      </c>
    </row>
    <row r="27" spans="1:8" x14ac:dyDescent="0.3">
      <c r="A27" t="s">
        <v>298</v>
      </c>
      <c r="B27" t="s">
        <v>130</v>
      </c>
      <c r="C27">
        <v>0.3</v>
      </c>
      <c r="D27">
        <v>40</v>
      </c>
      <c r="E27">
        <v>251</v>
      </c>
      <c r="F27">
        <v>98.4</v>
      </c>
      <c r="G27" t="s">
        <v>9</v>
      </c>
      <c r="H27">
        <f t="shared" si="0"/>
        <v>0.15936254980079681</v>
      </c>
    </row>
    <row r="28" spans="1:8" x14ac:dyDescent="0.3">
      <c r="A28" t="s">
        <v>258</v>
      </c>
      <c r="B28" t="s">
        <v>130</v>
      </c>
      <c r="C28">
        <v>0.3</v>
      </c>
      <c r="D28">
        <v>41</v>
      </c>
      <c r="E28">
        <v>257</v>
      </c>
      <c r="F28">
        <v>94.2</v>
      </c>
      <c r="G28" t="s">
        <v>9</v>
      </c>
      <c r="H28">
        <f t="shared" si="0"/>
        <v>0.15953307392996108</v>
      </c>
    </row>
    <row r="29" spans="1:8" x14ac:dyDescent="0.3">
      <c r="A29" t="s">
        <v>334</v>
      </c>
      <c r="B29" t="s">
        <v>130</v>
      </c>
      <c r="C29">
        <v>0.3</v>
      </c>
      <c r="D29">
        <v>39</v>
      </c>
      <c r="E29">
        <v>254</v>
      </c>
      <c r="F29">
        <v>98</v>
      </c>
      <c r="G29" t="s">
        <v>9</v>
      </c>
      <c r="H29">
        <f t="shared" si="0"/>
        <v>0.15354330708661418</v>
      </c>
    </row>
    <row r="30" spans="1:8" x14ac:dyDescent="0.3">
      <c r="A30" t="s">
        <v>294</v>
      </c>
      <c r="B30" t="s">
        <v>130</v>
      </c>
      <c r="C30">
        <v>0.3</v>
      </c>
      <c r="D30">
        <v>40</v>
      </c>
      <c r="E30">
        <v>251</v>
      </c>
      <c r="F30">
        <v>98.8</v>
      </c>
      <c r="G30" t="s">
        <v>9</v>
      </c>
      <c r="H30">
        <f t="shared" si="0"/>
        <v>0.15936254980079681</v>
      </c>
    </row>
    <row r="31" spans="1:8" x14ac:dyDescent="0.3">
      <c r="A31" t="s">
        <v>254</v>
      </c>
      <c r="B31" t="s">
        <v>130</v>
      </c>
      <c r="C31">
        <v>0.3</v>
      </c>
      <c r="D31">
        <v>39</v>
      </c>
      <c r="E31">
        <v>251</v>
      </c>
      <c r="F31">
        <v>37.5</v>
      </c>
      <c r="G31" t="s">
        <v>0</v>
      </c>
      <c r="H31">
        <f t="shared" si="0"/>
        <v>0.15537848605577689</v>
      </c>
    </row>
    <row r="32" spans="1:8" x14ac:dyDescent="0.3">
      <c r="A32" t="s">
        <v>365</v>
      </c>
      <c r="B32" t="s">
        <v>130</v>
      </c>
      <c r="C32">
        <v>0.6</v>
      </c>
      <c r="D32">
        <v>68</v>
      </c>
      <c r="E32">
        <v>250</v>
      </c>
      <c r="F32">
        <v>22.4</v>
      </c>
      <c r="G32" t="s">
        <v>0</v>
      </c>
      <c r="H32">
        <f t="shared" si="0"/>
        <v>0.27200000000000002</v>
      </c>
    </row>
    <row r="33" spans="1:8" x14ac:dyDescent="0.3">
      <c r="A33" t="s">
        <v>325</v>
      </c>
      <c r="B33" t="s">
        <v>130</v>
      </c>
      <c r="C33">
        <v>0.6</v>
      </c>
      <c r="D33">
        <v>71</v>
      </c>
      <c r="E33">
        <v>253</v>
      </c>
      <c r="F33">
        <v>16.2</v>
      </c>
      <c r="G33" t="s">
        <v>0</v>
      </c>
      <c r="H33">
        <f t="shared" si="0"/>
        <v>0.28063241106719367</v>
      </c>
    </row>
    <row r="34" spans="1:8" x14ac:dyDescent="0.3">
      <c r="A34" t="s">
        <v>285</v>
      </c>
      <c r="B34" t="s">
        <v>130</v>
      </c>
      <c r="C34">
        <v>0.6</v>
      </c>
      <c r="D34">
        <v>70</v>
      </c>
      <c r="E34">
        <v>250</v>
      </c>
      <c r="F34">
        <v>27.6</v>
      </c>
      <c r="G34" t="s">
        <v>0</v>
      </c>
      <c r="H34">
        <f t="shared" si="0"/>
        <v>0.28000000000000003</v>
      </c>
    </row>
    <row r="35" spans="1:8" x14ac:dyDescent="0.3">
      <c r="A35" t="s">
        <v>369</v>
      </c>
      <c r="B35" t="s">
        <v>130</v>
      </c>
      <c r="C35">
        <v>0.6</v>
      </c>
      <c r="D35">
        <v>69</v>
      </c>
      <c r="E35">
        <v>252</v>
      </c>
      <c r="F35">
        <v>5.2</v>
      </c>
      <c r="G35" t="s">
        <v>0</v>
      </c>
      <c r="H35">
        <f t="shared" si="0"/>
        <v>0.27380952380952384</v>
      </c>
    </row>
    <row r="36" spans="1:8" x14ac:dyDescent="0.3">
      <c r="A36" t="s">
        <v>329</v>
      </c>
      <c r="B36" t="s">
        <v>130</v>
      </c>
      <c r="C36">
        <v>0.6</v>
      </c>
      <c r="D36">
        <v>70</v>
      </c>
      <c r="E36">
        <v>250</v>
      </c>
      <c r="F36">
        <v>18.399999999999999</v>
      </c>
      <c r="G36" t="s">
        <v>0</v>
      </c>
      <c r="H36">
        <f t="shared" si="0"/>
        <v>0.28000000000000003</v>
      </c>
    </row>
    <row r="37" spans="1:8" x14ac:dyDescent="0.3">
      <c r="A37" t="s">
        <v>289</v>
      </c>
      <c r="B37" t="s">
        <v>130</v>
      </c>
      <c r="C37">
        <v>0.6</v>
      </c>
      <c r="D37">
        <v>71</v>
      </c>
      <c r="E37">
        <v>256</v>
      </c>
      <c r="F37">
        <v>52</v>
      </c>
      <c r="G37" t="s">
        <v>0</v>
      </c>
      <c r="H37">
        <f t="shared" si="0"/>
        <v>0.27734375</v>
      </c>
    </row>
    <row r="38" spans="1:8" x14ac:dyDescent="0.3">
      <c r="A38" t="s">
        <v>361</v>
      </c>
      <c r="B38" t="s">
        <v>130</v>
      </c>
      <c r="C38">
        <v>0.6</v>
      </c>
      <c r="D38">
        <v>70</v>
      </c>
      <c r="E38">
        <v>250</v>
      </c>
      <c r="F38">
        <v>37.6</v>
      </c>
      <c r="G38" t="s">
        <v>0</v>
      </c>
      <c r="H38">
        <f t="shared" si="0"/>
        <v>0.28000000000000003</v>
      </c>
    </row>
    <row r="39" spans="1:8" x14ac:dyDescent="0.3">
      <c r="A39" t="s">
        <v>321</v>
      </c>
      <c r="B39" t="s">
        <v>130</v>
      </c>
      <c r="C39">
        <v>0.6</v>
      </c>
      <c r="D39">
        <v>69</v>
      </c>
      <c r="E39">
        <v>253</v>
      </c>
      <c r="F39">
        <v>22.5</v>
      </c>
      <c r="G39" t="s">
        <v>0</v>
      </c>
      <c r="H39">
        <f t="shared" si="0"/>
        <v>0.27272727272727271</v>
      </c>
    </row>
    <row r="40" spans="1:8" x14ac:dyDescent="0.3">
      <c r="A40" t="s">
        <v>281</v>
      </c>
      <c r="B40" t="s">
        <v>130</v>
      </c>
      <c r="C40">
        <v>0.6</v>
      </c>
      <c r="D40">
        <v>68</v>
      </c>
      <c r="E40">
        <v>254</v>
      </c>
      <c r="F40">
        <v>27.2</v>
      </c>
      <c r="G40" t="s">
        <v>0</v>
      </c>
      <c r="H40">
        <f t="shared" si="0"/>
        <v>0.26771653543307089</v>
      </c>
    </row>
    <row r="41" spans="1:8" x14ac:dyDescent="0.3">
      <c r="A41" t="s">
        <v>357</v>
      </c>
      <c r="B41" t="s">
        <v>130</v>
      </c>
      <c r="C41">
        <v>0.6</v>
      </c>
      <c r="D41">
        <v>69</v>
      </c>
      <c r="E41">
        <v>253</v>
      </c>
      <c r="F41">
        <v>22.5</v>
      </c>
      <c r="G41" t="s">
        <v>0</v>
      </c>
      <c r="H41">
        <f t="shared" si="0"/>
        <v>0.27272727272727271</v>
      </c>
    </row>
    <row r="42" spans="1:8" x14ac:dyDescent="0.3">
      <c r="A42" t="s">
        <v>317</v>
      </c>
      <c r="B42" t="s">
        <v>130</v>
      </c>
      <c r="C42">
        <v>0.6</v>
      </c>
      <c r="D42">
        <v>71</v>
      </c>
      <c r="E42">
        <v>258</v>
      </c>
      <c r="F42">
        <v>0.8</v>
      </c>
      <c r="G42" t="s">
        <v>0</v>
      </c>
      <c r="H42">
        <f t="shared" si="0"/>
        <v>0.27519379844961239</v>
      </c>
    </row>
    <row r="43" spans="1:8" x14ac:dyDescent="0.3">
      <c r="A43" t="s">
        <v>277</v>
      </c>
      <c r="B43" t="s">
        <v>130</v>
      </c>
      <c r="C43">
        <v>0.6</v>
      </c>
      <c r="D43">
        <v>70</v>
      </c>
      <c r="E43">
        <v>251</v>
      </c>
      <c r="F43">
        <v>3.2</v>
      </c>
      <c r="G43" t="s">
        <v>0</v>
      </c>
      <c r="H43">
        <f t="shared" si="0"/>
        <v>0.2788844621513944</v>
      </c>
    </row>
    <row r="44" spans="1:8" x14ac:dyDescent="0.3">
      <c r="A44" t="s">
        <v>353</v>
      </c>
      <c r="B44" t="s">
        <v>130</v>
      </c>
      <c r="C44">
        <v>0.6</v>
      </c>
      <c r="D44">
        <v>68</v>
      </c>
      <c r="E44">
        <v>254</v>
      </c>
      <c r="F44">
        <v>7.5</v>
      </c>
      <c r="G44" t="s">
        <v>0</v>
      </c>
      <c r="H44">
        <f t="shared" si="0"/>
        <v>0.26771653543307089</v>
      </c>
    </row>
    <row r="45" spans="1:8" x14ac:dyDescent="0.3">
      <c r="A45" t="s">
        <v>313</v>
      </c>
      <c r="B45" t="s">
        <v>130</v>
      </c>
      <c r="C45">
        <v>0.6</v>
      </c>
      <c r="D45">
        <v>70</v>
      </c>
      <c r="E45">
        <v>250</v>
      </c>
      <c r="F45">
        <v>2</v>
      </c>
      <c r="G45" t="s">
        <v>0</v>
      </c>
      <c r="H45">
        <f t="shared" si="0"/>
        <v>0.28000000000000003</v>
      </c>
    </row>
    <row r="46" spans="1:8" x14ac:dyDescent="0.3">
      <c r="A46" t="s">
        <v>273</v>
      </c>
      <c r="B46" t="s">
        <v>130</v>
      </c>
      <c r="C46">
        <v>0.6</v>
      </c>
      <c r="D46">
        <v>70</v>
      </c>
      <c r="E46">
        <v>252</v>
      </c>
      <c r="F46">
        <v>1.6</v>
      </c>
      <c r="G46" t="s">
        <v>0</v>
      </c>
      <c r="H46">
        <f t="shared" si="0"/>
        <v>0.27777777777777779</v>
      </c>
    </row>
    <row r="47" spans="1:8" x14ac:dyDescent="0.3">
      <c r="A47" t="s">
        <v>349</v>
      </c>
      <c r="B47" t="s">
        <v>130</v>
      </c>
      <c r="C47">
        <v>0.6</v>
      </c>
      <c r="D47">
        <v>70</v>
      </c>
      <c r="E47">
        <v>250</v>
      </c>
      <c r="F47">
        <v>37.200000000000003</v>
      </c>
      <c r="G47" t="s">
        <v>0</v>
      </c>
      <c r="H47">
        <f t="shared" si="0"/>
        <v>0.28000000000000003</v>
      </c>
    </row>
    <row r="48" spans="1:8" x14ac:dyDescent="0.3">
      <c r="A48" t="s">
        <v>309</v>
      </c>
      <c r="B48" t="s">
        <v>130</v>
      </c>
      <c r="C48">
        <v>0.6</v>
      </c>
      <c r="D48">
        <v>71</v>
      </c>
      <c r="E48">
        <v>254</v>
      </c>
      <c r="F48">
        <v>37</v>
      </c>
      <c r="G48" t="s">
        <v>0</v>
      </c>
      <c r="H48">
        <f t="shared" si="0"/>
        <v>0.27952755905511811</v>
      </c>
    </row>
    <row r="49" spans="1:8" x14ac:dyDescent="0.3">
      <c r="A49" t="s">
        <v>269</v>
      </c>
      <c r="B49" t="s">
        <v>130</v>
      </c>
      <c r="C49">
        <v>0.6</v>
      </c>
      <c r="D49">
        <v>69</v>
      </c>
      <c r="E49">
        <v>257</v>
      </c>
      <c r="F49">
        <v>30.7</v>
      </c>
      <c r="G49" t="s">
        <v>0</v>
      </c>
      <c r="H49">
        <f t="shared" si="0"/>
        <v>0.26848249027237353</v>
      </c>
    </row>
    <row r="50" spans="1:8" x14ac:dyDescent="0.3">
      <c r="A50" t="s">
        <v>345</v>
      </c>
      <c r="B50" t="s">
        <v>130</v>
      </c>
      <c r="C50">
        <v>0.6</v>
      </c>
      <c r="D50">
        <v>69</v>
      </c>
      <c r="E50">
        <v>253</v>
      </c>
      <c r="F50">
        <v>23.3</v>
      </c>
      <c r="G50" t="s">
        <v>0</v>
      </c>
      <c r="H50">
        <f t="shared" si="0"/>
        <v>0.27272727272727271</v>
      </c>
    </row>
    <row r="51" spans="1:8" x14ac:dyDescent="0.3">
      <c r="A51" t="s">
        <v>305</v>
      </c>
      <c r="B51" t="s">
        <v>130</v>
      </c>
      <c r="C51">
        <v>0.6</v>
      </c>
      <c r="D51">
        <v>71</v>
      </c>
      <c r="E51">
        <v>256</v>
      </c>
      <c r="F51">
        <v>22.7</v>
      </c>
      <c r="G51" t="s">
        <v>0</v>
      </c>
      <c r="H51">
        <f t="shared" si="0"/>
        <v>0.27734375</v>
      </c>
    </row>
    <row r="52" spans="1:8" x14ac:dyDescent="0.3">
      <c r="A52" t="s">
        <v>265</v>
      </c>
      <c r="B52" t="s">
        <v>130</v>
      </c>
      <c r="C52">
        <v>0.6</v>
      </c>
      <c r="D52">
        <v>72</v>
      </c>
      <c r="E52">
        <v>253</v>
      </c>
      <c r="F52">
        <v>11.5</v>
      </c>
      <c r="G52" t="s">
        <v>0</v>
      </c>
      <c r="H52">
        <f t="shared" si="0"/>
        <v>0.28458498023715417</v>
      </c>
    </row>
    <row r="53" spans="1:8" x14ac:dyDescent="0.3">
      <c r="A53" t="s">
        <v>341</v>
      </c>
      <c r="B53" t="s">
        <v>130</v>
      </c>
      <c r="C53">
        <v>0.6</v>
      </c>
      <c r="D53">
        <v>69</v>
      </c>
      <c r="E53">
        <v>255</v>
      </c>
      <c r="F53">
        <v>17.600000000000001</v>
      </c>
      <c r="G53" t="s">
        <v>0</v>
      </c>
      <c r="H53">
        <f t="shared" si="0"/>
        <v>0.27058823529411763</v>
      </c>
    </row>
    <row r="54" spans="1:8" x14ac:dyDescent="0.3">
      <c r="A54" t="s">
        <v>301</v>
      </c>
      <c r="B54" t="s">
        <v>130</v>
      </c>
      <c r="C54">
        <v>0.6</v>
      </c>
      <c r="D54">
        <v>70</v>
      </c>
      <c r="E54">
        <v>250</v>
      </c>
      <c r="F54">
        <v>47.6</v>
      </c>
      <c r="G54" t="s">
        <v>0</v>
      </c>
      <c r="H54">
        <f t="shared" si="0"/>
        <v>0.28000000000000003</v>
      </c>
    </row>
    <row r="55" spans="1:8" x14ac:dyDescent="0.3">
      <c r="A55" t="s">
        <v>261</v>
      </c>
      <c r="B55" t="s">
        <v>130</v>
      </c>
      <c r="C55">
        <v>0.6</v>
      </c>
      <c r="D55">
        <v>69</v>
      </c>
      <c r="E55">
        <v>253</v>
      </c>
      <c r="F55">
        <v>7.5</v>
      </c>
      <c r="G55" t="s">
        <v>0</v>
      </c>
      <c r="H55">
        <f t="shared" si="0"/>
        <v>0.27272727272727271</v>
      </c>
    </row>
    <row r="56" spans="1:8" x14ac:dyDescent="0.3">
      <c r="A56" t="s">
        <v>337</v>
      </c>
      <c r="B56" t="s">
        <v>130</v>
      </c>
      <c r="C56">
        <v>0.6</v>
      </c>
      <c r="D56">
        <v>69</v>
      </c>
      <c r="E56">
        <v>251</v>
      </c>
      <c r="F56">
        <v>15.1</v>
      </c>
      <c r="G56" t="s">
        <v>0</v>
      </c>
      <c r="H56">
        <f t="shared" si="0"/>
        <v>0.27490039840637448</v>
      </c>
    </row>
    <row r="57" spans="1:8" x14ac:dyDescent="0.3">
      <c r="A57" t="s">
        <v>297</v>
      </c>
      <c r="B57" t="s">
        <v>130</v>
      </c>
      <c r="C57">
        <v>0.6</v>
      </c>
      <c r="D57">
        <v>68</v>
      </c>
      <c r="E57">
        <v>251</v>
      </c>
      <c r="F57">
        <v>39.4</v>
      </c>
      <c r="G57" t="s">
        <v>0</v>
      </c>
      <c r="H57">
        <f t="shared" si="0"/>
        <v>0.27091633466135456</v>
      </c>
    </row>
    <row r="58" spans="1:8" x14ac:dyDescent="0.3">
      <c r="A58" t="s">
        <v>257</v>
      </c>
      <c r="B58" t="s">
        <v>130</v>
      </c>
      <c r="C58">
        <v>0.6</v>
      </c>
      <c r="D58">
        <v>70</v>
      </c>
      <c r="E58">
        <v>257</v>
      </c>
      <c r="F58">
        <v>25.7</v>
      </c>
      <c r="G58" t="s">
        <v>0</v>
      </c>
      <c r="H58">
        <f t="shared" si="0"/>
        <v>0.2723735408560311</v>
      </c>
    </row>
    <row r="59" spans="1:8" x14ac:dyDescent="0.3">
      <c r="A59" t="s">
        <v>333</v>
      </c>
      <c r="B59" t="s">
        <v>130</v>
      </c>
      <c r="C59">
        <v>0.6</v>
      </c>
      <c r="D59">
        <v>67</v>
      </c>
      <c r="E59">
        <v>254</v>
      </c>
      <c r="F59">
        <v>20.100000000000001</v>
      </c>
      <c r="G59" t="s">
        <v>0</v>
      </c>
      <c r="H59">
        <f t="shared" si="0"/>
        <v>0.26377952755905509</v>
      </c>
    </row>
    <row r="60" spans="1:8" x14ac:dyDescent="0.3">
      <c r="A60" t="s">
        <v>293</v>
      </c>
      <c r="B60" t="s">
        <v>130</v>
      </c>
      <c r="C60">
        <v>0.6</v>
      </c>
      <c r="D60">
        <v>68</v>
      </c>
      <c r="E60">
        <v>251</v>
      </c>
      <c r="F60">
        <v>3.2</v>
      </c>
      <c r="G60" t="s">
        <v>0</v>
      </c>
      <c r="H60">
        <f t="shared" si="0"/>
        <v>0.27091633466135456</v>
      </c>
    </row>
    <row r="61" spans="1:8" x14ac:dyDescent="0.3">
      <c r="A61" t="s">
        <v>253</v>
      </c>
      <c r="B61" t="s">
        <v>130</v>
      </c>
      <c r="C61">
        <v>0.6</v>
      </c>
      <c r="D61">
        <v>68</v>
      </c>
      <c r="E61">
        <v>251</v>
      </c>
      <c r="F61">
        <v>1.6</v>
      </c>
      <c r="G61" t="s">
        <v>0</v>
      </c>
      <c r="H61">
        <f t="shared" si="0"/>
        <v>0.27091633466135456</v>
      </c>
    </row>
    <row r="62" spans="1:8" x14ac:dyDescent="0.3">
      <c r="A62" t="s">
        <v>364</v>
      </c>
      <c r="B62" t="s">
        <v>130</v>
      </c>
      <c r="C62">
        <v>0.89999999999999902</v>
      </c>
      <c r="D62">
        <v>94</v>
      </c>
      <c r="E62">
        <v>250</v>
      </c>
      <c r="F62">
        <v>10.4</v>
      </c>
      <c r="G62" t="s">
        <v>0</v>
      </c>
      <c r="H62">
        <f t="shared" si="0"/>
        <v>0.376</v>
      </c>
    </row>
    <row r="63" spans="1:8" x14ac:dyDescent="0.3">
      <c r="A63" t="s">
        <v>324</v>
      </c>
      <c r="B63" t="s">
        <v>130</v>
      </c>
      <c r="C63">
        <v>0.89999999999999902</v>
      </c>
      <c r="D63">
        <v>95</v>
      </c>
      <c r="E63">
        <v>253</v>
      </c>
      <c r="F63">
        <v>17.8</v>
      </c>
      <c r="G63" t="s">
        <v>0</v>
      </c>
      <c r="H63">
        <f t="shared" si="0"/>
        <v>0.37549407114624506</v>
      </c>
    </row>
    <row r="64" spans="1:8" x14ac:dyDescent="0.3">
      <c r="A64" t="s">
        <v>284</v>
      </c>
      <c r="B64" t="s">
        <v>130</v>
      </c>
      <c r="C64">
        <v>0.89999999999999902</v>
      </c>
      <c r="D64">
        <v>93</v>
      </c>
      <c r="E64">
        <v>250</v>
      </c>
      <c r="F64">
        <v>4</v>
      </c>
      <c r="G64" t="s">
        <v>0</v>
      </c>
      <c r="H64">
        <f t="shared" si="0"/>
        <v>0.372</v>
      </c>
    </row>
    <row r="65" spans="1:8" x14ac:dyDescent="0.3">
      <c r="A65" t="s">
        <v>368</v>
      </c>
      <c r="B65" t="s">
        <v>130</v>
      </c>
      <c r="C65">
        <v>0.89999999999999902</v>
      </c>
      <c r="D65">
        <v>91</v>
      </c>
      <c r="E65">
        <v>252</v>
      </c>
      <c r="F65">
        <v>4</v>
      </c>
      <c r="G65" t="s">
        <v>0</v>
      </c>
      <c r="H65">
        <f t="shared" si="0"/>
        <v>0.3611111111111111</v>
      </c>
    </row>
    <row r="66" spans="1:8" x14ac:dyDescent="0.3">
      <c r="A66" t="s">
        <v>328</v>
      </c>
      <c r="B66" t="s">
        <v>130</v>
      </c>
      <c r="C66">
        <v>0.89999999999999902</v>
      </c>
      <c r="D66">
        <v>89</v>
      </c>
      <c r="E66">
        <v>250</v>
      </c>
      <c r="F66">
        <v>15.2</v>
      </c>
      <c r="G66" t="s">
        <v>0</v>
      </c>
      <c r="H66">
        <f t="shared" si="0"/>
        <v>0.35599999999999998</v>
      </c>
    </row>
    <row r="67" spans="1:8" x14ac:dyDescent="0.3">
      <c r="A67" t="s">
        <v>288</v>
      </c>
      <c r="B67" t="s">
        <v>130</v>
      </c>
      <c r="C67">
        <v>0.89999999999999902</v>
      </c>
      <c r="D67">
        <v>93</v>
      </c>
      <c r="E67">
        <v>256</v>
      </c>
      <c r="F67">
        <v>42.2</v>
      </c>
      <c r="G67" t="s">
        <v>0</v>
      </c>
      <c r="H67">
        <f t="shared" ref="H67:H121" si="1">D67/E67</f>
        <v>0.36328125</v>
      </c>
    </row>
    <row r="68" spans="1:8" x14ac:dyDescent="0.3">
      <c r="A68" t="s">
        <v>360</v>
      </c>
      <c r="B68" t="s">
        <v>130</v>
      </c>
      <c r="C68">
        <v>0.89999999999999902</v>
      </c>
      <c r="D68">
        <v>88</v>
      </c>
      <c r="E68">
        <v>250</v>
      </c>
      <c r="F68">
        <v>12</v>
      </c>
      <c r="G68" t="s">
        <v>0</v>
      </c>
      <c r="H68">
        <f t="shared" si="1"/>
        <v>0.35199999999999998</v>
      </c>
    </row>
    <row r="69" spans="1:8" x14ac:dyDescent="0.3">
      <c r="A69" t="s">
        <v>320</v>
      </c>
      <c r="B69" t="s">
        <v>130</v>
      </c>
      <c r="C69">
        <v>0.89999999999999902</v>
      </c>
      <c r="D69">
        <v>92</v>
      </c>
      <c r="E69">
        <v>253</v>
      </c>
      <c r="F69">
        <v>5.5</v>
      </c>
      <c r="G69" t="s">
        <v>0</v>
      </c>
      <c r="H69">
        <f t="shared" si="1"/>
        <v>0.36363636363636365</v>
      </c>
    </row>
    <row r="70" spans="1:8" x14ac:dyDescent="0.3">
      <c r="A70" t="s">
        <v>280</v>
      </c>
      <c r="B70" t="s">
        <v>130</v>
      </c>
      <c r="C70">
        <v>0.89999999999999902</v>
      </c>
      <c r="D70">
        <v>88</v>
      </c>
      <c r="E70">
        <v>254</v>
      </c>
      <c r="F70">
        <v>17.3</v>
      </c>
      <c r="G70" t="s">
        <v>0</v>
      </c>
      <c r="H70">
        <f t="shared" si="1"/>
        <v>0.34645669291338582</v>
      </c>
    </row>
    <row r="71" spans="1:8" x14ac:dyDescent="0.3">
      <c r="A71" t="s">
        <v>356</v>
      </c>
      <c r="B71" t="s">
        <v>130</v>
      </c>
      <c r="C71">
        <v>0.89999999999999902</v>
      </c>
      <c r="D71">
        <v>93</v>
      </c>
      <c r="E71">
        <v>253</v>
      </c>
      <c r="F71">
        <v>9.1</v>
      </c>
      <c r="G71" t="s">
        <v>0</v>
      </c>
      <c r="H71">
        <f t="shared" si="1"/>
        <v>0.3675889328063241</v>
      </c>
    </row>
    <row r="72" spans="1:8" x14ac:dyDescent="0.3">
      <c r="A72" t="s">
        <v>316</v>
      </c>
      <c r="B72" t="s">
        <v>130</v>
      </c>
      <c r="C72">
        <v>0.89999999999999902</v>
      </c>
      <c r="D72">
        <v>99</v>
      </c>
      <c r="E72">
        <v>258</v>
      </c>
      <c r="F72">
        <v>13.2</v>
      </c>
      <c r="G72" t="s">
        <v>0</v>
      </c>
      <c r="H72">
        <f t="shared" si="1"/>
        <v>0.38372093023255816</v>
      </c>
    </row>
    <row r="73" spans="1:8" x14ac:dyDescent="0.3">
      <c r="A73" t="s">
        <v>276</v>
      </c>
      <c r="B73" t="s">
        <v>130</v>
      </c>
      <c r="C73">
        <v>0.89999999999999902</v>
      </c>
      <c r="D73">
        <v>92</v>
      </c>
      <c r="E73">
        <v>251</v>
      </c>
      <c r="F73">
        <v>12.4</v>
      </c>
      <c r="G73" t="s">
        <v>0</v>
      </c>
      <c r="H73">
        <f t="shared" si="1"/>
        <v>0.36653386454183268</v>
      </c>
    </row>
    <row r="74" spans="1:8" x14ac:dyDescent="0.3">
      <c r="A74" t="s">
        <v>352</v>
      </c>
      <c r="B74" t="s">
        <v>130</v>
      </c>
      <c r="C74">
        <v>0.89999999999999902</v>
      </c>
      <c r="D74">
        <v>91</v>
      </c>
      <c r="E74">
        <v>254</v>
      </c>
      <c r="F74">
        <v>7.5</v>
      </c>
      <c r="G74" t="s">
        <v>0</v>
      </c>
      <c r="H74">
        <f t="shared" si="1"/>
        <v>0.35826771653543305</v>
      </c>
    </row>
    <row r="75" spans="1:8" x14ac:dyDescent="0.3">
      <c r="A75" t="s">
        <v>312</v>
      </c>
      <c r="B75" t="s">
        <v>130</v>
      </c>
      <c r="C75">
        <v>0.89999999999999902</v>
      </c>
      <c r="D75">
        <v>93</v>
      </c>
      <c r="E75">
        <v>250</v>
      </c>
      <c r="F75">
        <v>13.6</v>
      </c>
      <c r="G75" t="s">
        <v>0</v>
      </c>
      <c r="H75">
        <f t="shared" si="1"/>
        <v>0.372</v>
      </c>
    </row>
    <row r="76" spans="1:8" x14ac:dyDescent="0.3">
      <c r="A76" t="s">
        <v>272</v>
      </c>
      <c r="B76" t="s">
        <v>130</v>
      </c>
      <c r="C76">
        <v>0.89999999999999902</v>
      </c>
      <c r="D76">
        <v>90</v>
      </c>
      <c r="E76">
        <v>252</v>
      </c>
      <c r="F76">
        <v>11.5</v>
      </c>
      <c r="G76" t="s">
        <v>0</v>
      </c>
      <c r="H76">
        <f t="shared" si="1"/>
        <v>0.35714285714285715</v>
      </c>
    </row>
    <row r="77" spans="1:8" x14ac:dyDescent="0.3">
      <c r="A77" t="s">
        <v>348</v>
      </c>
      <c r="B77" t="s">
        <v>130</v>
      </c>
      <c r="C77">
        <v>0.89999999999999902</v>
      </c>
      <c r="D77">
        <v>93</v>
      </c>
      <c r="E77">
        <v>250</v>
      </c>
      <c r="F77">
        <v>10.8</v>
      </c>
      <c r="G77" t="s">
        <v>0</v>
      </c>
      <c r="H77">
        <f t="shared" si="1"/>
        <v>0.372</v>
      </c>
    </row>
    <row r="78" spans="1:8" x14ac:dyDescent="0.3">
      <c r="A78" t="s">
        <v>308</v>
      </c>
      <c r="B78" t="s">
        <v>130</v>
      </c>
      <c r="C78">
        <v>0.89999999999999902</v>
      </c>
      <c r="D78">
        <v>93</v>
      </c>
      <c r="E78">
        <v>254</v>
      </c>
      <c r="F78">
        <v>22</v>
      </c>
      <c r="G78" t="s">
        <v>0</v>
      </c>
      <c r="H78">
        <f t="shared" si="1"/>
        <v>0.36614173228346458</v>
      </c>
    </row>
    <row r="79" spans="1:8" x14ac:dyDescent="0.3">
      <c r="A79" t="s">
        <v>268</v>
      </c>
      <c r="B79" t="s">
        <v>130</v>
      </c>
      <c r="C79">
        <v>0.89999999999999902</v>
      </c>
      <c r="D79">
        <v>92</v>
      </c>
      <c r="E79">
        <v>257</v>
      </c>
      <c r="F79">
        <v>14.8</v>
      </c>
      <c r="G79" t="s">
        <v>0</v>
      </c>
      <c r="H79">
        <f t="shared" si="1"/>
        <v>0.35797665369649806</v>
      </c>
    </row>
    <row r="80" spans="1:8" x14ac:dyDescent="0.3">
      <c r="A80" t="s">
        <v>344</v>
      </c>
      <c r="B80" t="s">
        <v>130</v>
      </c>
      <c r="C80">
        <v>0.89999999999999902</v>
      </c>
      <c r="D80">
        <v>92</v>
      </c>
      <c r="E80">
        <v>253</v>
      </c>
      <c r="F80">
        <v>13.8</v>
      </c>
      <c r="G80" t="s">
        <v>0</v>
      </c>
      <c r="H80">
        <f t="shared" si="1"/>
        <v>0.36363636363636365</v>
      </c>
    </row>
    <row r="81" spans="1:8" x14ac:dyDescent="0.3">
      <c r="A81" t="s">
        <v>304</v>
      </c>
      <c r="B81" t="s">
        <v>130</v>
      </c>
      <c r="C81">
        <v>0.89999999999999902</v>
      </c>
      <c r="D81">
        <v>97</v>
      </c>
      <c r="E81">
        <v>256</v>
      </c>
      <c r="F81">
        <v>5.0999999999999996</v>
      </c>
      <c r="G81" t="s">
        <v>0</v>
      </c>
      <c r="H81">
        <f t="shared" si="1"/>
        <v>0.37890625</v>
      </c>
    </row>
    <row r="82" spans="1:8" x14ac:dyDescent="0.3">
      <c r="A82" t="s">
        <v>264</v>
      </c>
      <c r="B82" t="s">
        <v>130</v>
      </c>
      <c r="C82">
        <v>0.89999999999999902</v>
      </c>
      <c r="D82">
        <v>89</v>
      </c>
      <c r="E82">
        <v>253</v>
      </c>
      <c r="F82">
        <v>48.6</v>
      </c>
      <c r="G82" t="s">
        <v>0</v>
      </c>
      <c r="H82">
        <f t="shared" si="1"/>
        <v>0.35177865612648224</v>
      </c>
    </row>
    <row r="83" spans="1:8" x14ac:dyDescent="0.3">
      <c r="A83" t="s">
        <v>340</v>
      </c>
      <c r="B83" t="s">
        <v>130</v>
      </c>
      <c r="C83">
        <v>0.89999999999999902</v>
      </c>
      <c r="D83">
        <v>91</v>
      </c>
      <c r="E83">
        <v>255</v>
      </c>
      <c r="F83">
        <v>13.3</v>
      </c>
      <c r="G83" t="s">
        <v>0</v>
      </c>
      <c r="H83">
        <f t="shared" si="1"/>
        <v>0.35686274509803922</v>
      </c>
    </row>
    <row r="84" spans="1:8" x14ac:dyDescent="0.3">
      <c r="A84" t="s">
        <v>300</v>
      </c>
      <c r="B84" t="s">
        <v>130</v>
      </c>
      <c r="C84">
        <v>0.89999999999999902</v>
      </c>
      <c r="D84">
        <v>93</v>
      </c>
      <c r="E84">
        <v>250</v>
      </c>
      <c r="F84">
        <v>44</v>
      </c>
      <c r="G84" t="s">
        <v>0</v>
      </c>
      <c r="H84">
        <f t="shared" si="1"/>
        <v>0.372</v>
      </c>
    </row>
    <row r="85" spans="1:8" x14ac:dyDescent="0.3">
      <c r="A85" t="s">
        <v>260</v>
      </c>
      <c r="B85" t="s">
        <v>130</v>
      </c>
      <c r="C85">
        <v>0.89999999999999902</v>
      </c>
      <c r="D85">
        <v>96</v>
      </c>
      <c r="E85">
        <v>253</v>
      </c>
      <c r="F85">
        <v>5.5</v>
      </c>
      <c r="G85" t="s">
        <v>0</v>
      </c>
      <c r="H85">
        <f t="shared" si="1"/>
        <v>0.37944664031620551</v>
      </c>
    </row>
    <row r="86" spans="1:8" x14ac:dyDescent="0.3">
      <c r="A86" t="s">
        <v>336</v>
      </c>
      <c r="B86" t="s">
        <v>130</v>
      </c>
      <c r="C86">
        <v>0.89999999999999902</v>
      </c>
      <c r="D86">
        <v>91</v>
      </c>
      <c r="E86">
        <v>251</v>
      </c>
      <c r="F86">
        <v>6.4</v>
      </c>
      <c r="G86" t="s">
        <v>0</v>
      </c>
      <c r="H86">
        <f t="shared" si="1"/>
        <v>0.36254980079681276</v>
      </c>
    </row>
    <row r="87" spans="1:8" x14ac:dyDescent="0.3">
      <c r="A87" t="s">
        <v>296</v>
      </c>
      <c r="B87" t="s">
        <v>130</v>
      </c>
      <c r="C87">
        <v>0.89999999999999902</v>
      </c>
      <c r="D87">
        <v>97</v>
      </c>
      <c r="E87">
        <v>251</v>
      </c>
      <c r="F87">
        <v>35.5</v>
      </c>
      <c r="G87" t="s">
        <v>0</v>
      </c>
      <c r="H87">
        <f t="shared" si="1"/>
        <v>0.38645418326693226</v>
      </c>
    </row>
    <row r="88" spans="1:8" x14ac:dyDescent="0.3">
      <c r="A88" t="s">
        <v>256</v>
      </c>
      <c r="B88" t="s">
        <v>130</v>
      </c>
      <c r="C88">
        <v>0.89999999999999902</v>
      </c>
      <c r="D88">
        <v>98</v>
      </c>
      <c r="E88">
        <v>257</v>
      </c>
      <c r="F88">
        <v>6.2</v>
      </c>
      <c r="G88" t="s">
        <v>0</v>
      </c>
      <c r="H88">
        <f t="shared" si="1"/>
        <v>0.38132295719844356</v>
      </c>
    </row>
    <row r="89" spans="1:8" x14ac:dyDescent="0.3">
      <c r="A89" t="s">
        <v>332</v>
      </c>
      <c r="B89" t="s">
        <v>130</v>
      </c>
      <c r="C89">
        <v>0.89999999999999902</v>
      </c>
      <c r="D89">
        <v>89</v>
      </c>
      <c r="E89">
        <v>254</v>
      </c>
      <c r="F89">
        <v>14.2</v>
      </c>
      <c r="G89" t="s">
        <v>0</v>
      </c>
      <c r="H89">
        <f t="shared" si="1"/>
        <v>0.35039370078740156</v>
      </c>
    </row>
    <row r="90" spans="1:8" x14ac:dyDescent="0.3">
      <c r="A90" t="s">
        <v>292</v>
      </c>
      <c r="B90" t="s">
        <v>130</v>
      </c>
      <c r="C90">
        <v>0.89999999999999902</v>
      </c>
      <c r="D90">
        <v>94</v>
      </c>
      <c r="E90">
        <v>251</v>
      </c>
      <c r="F90">
        <v>6.8</v>
      </c>
      <c r="G90" t="s">
        <v>0</v>
      </c>
      <c r="H90">
        <f t="shared" si="1"/>
        <v>0.37450199203187251</v>
      </c>
    </row>
    <row r="91" spans="1:8" x14ac:dyDescent="0.3">
      <c r="A91" t="s">
        <v>252</v>
      </c>
      <c r="B91" t="s">
        <v>130</v>
      </c>
      <c r="C91">
        <v>0.89999999999999902</v>
      </c>
      <c r="D91">
        <v>86</v>
      </c>
      <c r="E91">
        <v>251</v>
      </c>
      <c r="F91">
        <v>3.6</v>
      </c>
      <c r="G91" t="s">
        <v>0</v>
      </c>
      <c r="H91">
        <f t="shared" si="1"/>
        <v>0.34262948207171312</v>
      </c>
    </row>
    <row r="92" spans="1:8" x14ac:dyDescent="0.3">
      <c r="A92" t="s">
        <v>363</v>
      </c>
      <c r="B92" t="s">
        <v>130</v>
      </c>
      <c r="C92">
        <v>1.2</v>
      </c>
      <c r="D92">
        <v>119</v>
      </c>
      <c r="E92">
        <v>250</v>
      </c>
      <c r="F92">
        <v>21.2</v>
      </c>
      <c r="G92" t="s">
        <v>0</v>
      </c>
      <c r="H92">
        <f t="shared" si="1"/>
        <v>0.47599999999999998</v>
      </c>
    </row>
    <row r="93" spans="1:8" x14ac:dyDescent="0.3">
      <c r="A93" t="s">
        <v>323</v>
      </c>
      <c r="B93" t="s">
        <v>130</v>
      </c>
      <c r="C93">
        <v>1.2</v>
      </c>
      <c r="D93">
        <v>115</v>
      </c>
      <c r="E93">
        <v>253</v>
      </c>
      <c r="F93">
        <v>9.5</v>
      </c>
      <c r="G93" t="s">
        <v>0</v>
      </c>
      <c r="H93">
        <f t="shared" si="1"/>
        <v>0.45454545454545453</v>
      </c>
    </row>
    <row r="94" spans="1:8" x14ac:dyDescent="0.3">
      <c r="A94" t="s">
        <v>283</v>
      </c>
      <c r="B94" t="s">
        <v>130</v>
      </c>
      <c r="C94">
        <v>1.2</v>
      </c>
      <c r="D94">
        <v>112</v>
      </c>
      <c r="E94">
        <v>250</v>
      </c>
      <c r="F94">
        <v>7.2</v>
      </c>
      <c r="G94" t="s">
        <v>0</v>
      </c>
      <c r="H94">
        <f t="shared" si="1"/>
        <v>0.44800000000000001</v>
      </c>
    </row>
    <row r="95" spans="1:8" x14ac:dyDescent="0.3">
      <c r="A95" t="s">
        <v>367</v>
      </c>
      <c r="B95" t="s">
        <v>130</v>
      </c>
      <c r="C95">
        <v>1.2</v>
      </c>
      <c r="D95">
        <v>111</v>
      </c>
      <c r="E95">
        <v>252</v>
      </c>
      <c r="F95">
        <v>7.5</v>
      </c>
      <c r="G95" t="s">
        <v>0</v>
      </c>
      <c r="H95">
        <f t="shared" si="1"/>
        <v>0.44047619047619047</v>
      </c>
    </row>
    <row r="96" spans="1:8" x14ac:dyDescent="0.3">
      <c r="A96" t="s">
        <v>327</v>
      </c>
      <c r="B96" t="s">
        <v>130</v>
      </c>
      <c r="C96">
        <v>1.2</v>
      </c>
      <c r="D96">
        <v>107</v>
      </c>
      <c r="E96">
        <v>250</v>
      </c>
      <c r="F96">
        <v>13.6</v>
      </c>
      <c r="G96" t="s">
        <v>0</v>
      </c>
      <c r="H96">
        <f t="shared" si="1"/>
        <v>0.42799999999999999</v>
      </c>
    </row>
    <row r="97" spans="1:8" x14ac:dyDescent="0.3">
      <c r="A97" t="s">
        <v>287</v>
      </c>
      <c r="B97" t="s">
        <v>130</v>
      </c>
      <c r="C97">
        <v>1.2</v>
      </c>
      <c r="D97">
        <v>110</v>
      </c>
      <c r="E97">
        <v>256</v>
      </c>
      <c r="F97">
        <v>10.9</v>
      </c>
      <c r="G97" t="s">
        <v>0</v>
      </c>
      <c r="H97">
        <f t="shared" si="1"/>
        <v>0.4296875</v>
      </c>
    </row>
    <row r="98" spans="1:8" x14ac:dyDescent="0.3">
      <c r="A98" t="s">
        <v>359</v>
      </c>
      <c r="B98" t="s">
        <v>130</v>
      </c>
      <c r="C98">
        <v>1.2</v>
      </c>
      <c r="D98">
        <v>113</v>
      </c>
      <c r="E98">
        <v>250</v>
      </c>
      <c r="F98">
        <v>8</v>
      </c>
      <c r="G98" t="s">
        <v>0</v>
      </c>
      <c r="H98">
        <f t="shared" si="1"/>
        <v>0.45200000000000001</v>
      </c>
    </row>
    <row r="99" spans="1:8" x14ac:dyDescent="0.3">
      <c r="A99" t="s">
        <v>319</v>
      </c>
      <c r="B99" t="s">
        <v>130</v>
      </c>
      <c r="C99">
        <v>1.2</v>
      </c>
      <c r="D99">
        <v>115</v>
      </c>
      <c r="E99">
        <v>253</v>
      </c>
      <c r="F99">
        <v>10.7</v>
      </c>
      <c r="G99" t="s">
        <v>0</v>
      </c>
      <c r="H99">
        <f t="shared" si="1"/>
        <v>0.45454545454545453</v>
      </c>
    </row>
    <row r="100" spans="1:8" x14ac:dyDescent="0.3">
      <c r="A100" t="s">
        <v>279</v>
      </c>
      <c r="B100" t="s">
        <v>130</v>
      </c>
      <c r="C100">
        <v>1.2</v>
      </c>
      <c r="D100">
        <v>109</v>
      </c>
      <c r="E100">
        <v>254</v>
      </c>
      <c r="F100">
        <v>7.5</v>
      </c>
      <c r="G100" t="s">
        <v>0</v>
      </c>
      <c r="H100">
        <f t="shared" si="1"/>
        <v>0.42913385826771655</v>
      </c>
    </row>
    <row r="101" spans="1:8" x14ac:dyDescent="0.3">
      <c r="A101" t="s">
        <v>355</v>
      </c>
      <c r="B101" t="s">
        <v>130</v>
      </c>
      <c r="C101">
        <v>1.2</v>
      </c>
      <c r="D101">
        <v>118</v>
      </c>
      <c r="E101">
        <v>253</v>
      </c>
      <c r="F101">
        <v>6.7</v>
      </c>
      <c r="G101" t="s">
        <v>0</v>
      </c>
      <c r="H101">
        <f t="shared" si="1"/>
        <v>0.466403162055336</v>
      </c>
    </row>
    <row r="102" spans="1:8" x14ac:dyDescent="0.3">
      <c r="A102" t="s">
        <v>315</v>
      </c>
      <c r="B102" t="s">
        <v>130</v>
      </c>
      <c r="C102">
        <v>1.2</v>
      </c>
      <c r="D102">
        <v>116</v>
      </c>
      <c r="E102">
        <v>258</v>
      </c>
      <c r="F102">
        <v>8.5</v>
      </c>
      <c r="G102" t="s">
        <v>0</v>
      </c>
      <c r="H102">
        <f t="shared" si="1"/>
        <v>0.44961240310077522</v>
      </c>
    </row>
    <row r="103" spans="1:8" x14ac:dyDescent="0.3">
      <c r="A103" t="s">
        <v>275</v>
      </c>
      <c r="B103" t="s">
        <v>130</v>
      </c>
      <c r="C103">
        <v>1.2</v>
      </c>
      <c r="D103">
        <v>113</v>
      </c>
      <c r="E103">
        <v>251</v>
      </c>
      <c r="F103">
        <v>10</v>
      </c>
      <c r="G103" t="s">
        <v>0</v>
      </c>
      <c r="H103">
        <f t="shared" si="1"/>
        <v>0.45019920318725098</v>
      </c>
    </row>
    <row r="104" spans="1:8" x14ac:dyDescent="0.3">
      <c r="A104" t="s">
        <v>351</v>
      </c>
      <c r="B104" t="s">
        <v>130</v>
      </c>
      <c r="C104">
        <v>1.2</v>
      </c>
      <c r="D104">
        <v>108</v>
      </c>
      <c r="E104">
        <v>254</v>
      </c>
      <c r="F104">
        <v>10.199999999999999</v>
      </c>
      <c r="G104" t="s">
        <v>0</v>
      </c>
      <c r="H104">
        <f t="shared" si="1"/>
        <v>0.42519685039370081</v>
      </c>
    </row>
    <row r="105" spans="1:8" x14ac:dyDescent="0.3">
      <c r="A105" t="s">
        <v>311</v>
      </c>
      <c r="B105" t="s">
        <v>130</v>
      </c>
      <c r="C105">
        <v>1.2</v>
      </c>
      <c r="D105">
        <v>109</v>
      </c>
      <c r="E105">
        <v>250</v>
      </c>
      <c r="F105">
        <v>5.6</v>
      </c>
      <c r="G105" t="s">
        <v>0</v>
      </c>
      <c r="H105">
        <f t="shared" si="1"/>
        <v>0.436</v>
      </c>
    </row>
    <row r="106" spans="1:8" x14ac:dyDescent="0.3">
      <c r="A106" t="s">
        <v>271</v>
      </c>
      <c r="B106" t="s">
        <v>130</v>
      </c>
      <c r="C106">
        <v>1.2</v>
      </c>
      <c r="D106">
        <v>111</v>
      </c>
      <c r="E106">
        <v>252</v>
      </c>
      <c r="F106">
        <v>16.7</v>
      </c>
      <c r="G106" t="s">
        <v>0</v>
      </c>
      <c r="H106">
        <f t="shared" si="1"/>
        <v>0.44047619047619047</v>
      </c>
    </row>
    <row r="107" spans="1:8" x14ac:dyDescent="0.3">
      <c r="A107" t="s">
        <v>347</v>
      </c>
      <c r="B107" t="s">
        <v>130</v>
      </c>
      <c r="C107">
        <v>1.2</v>
      </c>
      <c r="D107">
        <v>115</v>
      </c>
      <c r="E107">
        <v>250</v>
      </c>
      <c r="F107">
        <v>11.6</v>
      </c>
      <c r="G107" t="s">
        <v>0</v>
      </c>
      <c r="H107">
        <f t="shared" si="1"/>
        <v>0.46</v>
      </c>
    </row>
    <row r="108" spans="1:8" x14ac:dyDescent="0.3">
      <c r="A108" t="s">
        <v>307</v>
      </c>
      <c r="B108" t="s">
        <v>130</v>
      </c>
      <c r="C108">
        <v>1.2</v>
      </c>
      <c r="D108">
        <v>116</v>
      </c>
      <c r="E108">
        <v>254</v>
      </c>
      <c r="F108">
        <v>20.100000000000001</v>
      </c>
      <c r="G108" t="s">
        <v>0</v>
      </c>
      <c r="H108">
        <f t="shared" si="1"/>
        <v>0.45669291338582679</v>
      </c>
    </row>
    <row r="109" spans="1:8" x14ac:dyDescent="0.3">
      <c r="A109" t="s">
        <v>267</v>
      </c>
      <c r="B109" t="s">
        <v>130</v>
      </c>
      <c r="C109">
        <v>1.2</v>
      </c>
      <c r="D109">
        <v>122</v>
      </c>
      <c r="E109">
        <v>257</v>
      </c>
      <c r="F109">
        <v>19.8</v>
      </c>
      <c r="G109" t="s">
        <v>0</v>
      </c>
      <c r="H109">
        <f t="shared" si="1"/>
        <v>0.47470817120622566</v>
      </c>
    </row>
    <row r="110" spans="1:8" x14ac:dyDescent="0.3">
      <c r="A110" t="s">
        <v>343</v>
      </c>
      <c r="B110" t="s">
        <v>130</v>
      </c>
      <c r="C110">
        <v>1.2</v>
      </c>
      <c r="D110">
        <v>113</v>
      </c>
      <c r="E110">
        <v>253</v>
      </c>
      <c r="F110">
        <v>7.5</v>
      </c>
      <c r="G110" t="s">
        <v>0</v>
      </c>
      <c r="H110">
        <f t="shared" si="1"/>
        <v>0.44664031620553357</v>
      </c>
    </row>
    <row r="111" spans="1:8" x14ac:dyDescent="0.3">
      <c r="A111" t="s">
        <v>303</v>
      </c>
      <c r="B111" t="s">
        <v>130</v>
      </c>
      <c r="C111">
        <v>1.2</v>
      </c>
      <c r="D111">
        <v>117</v>
      </c>
      <c r="E111">
        <v>256</v>
      </c>
      <c r="F111">
        <v>5.9</v>
      </c>
      <c r="G111" t="s">
        <v>0</v>
      </c>
      <c r="H111">
        <f t="shared" si="1"/>
        <v>0.45703125</v>
      </c>
    </row>
    <row r="112" spans="1:8" x14ac:dyDescent="0.3">
      <c r="A112" t="s">
        <v>263</v>
      </c>
      <c r="B112" t="s">
        <v>130</v>
      </c>
      <c r="C112">
        <v>1.2</v>
      </c>
      <c r="D112">
        <v>116</v>
      </c>
      <c r="E112">
        <v>253</v>
      </c>
      <c r="F112">
        <v>5.0999999999999996</v>
      </c>
      <c r="G112" t="s">
        <v>0</v>
      </c>
      <c r="H112">
        <f t="shared" si="1"/>
        <v>0.45849802371541504</v>
      </c>
    </row>
    <row r="113" spans="1:8" x14ac:dyDescent="0.3">
      <c r="A113" t="s">
        <v>339</v>
      </c>
      <c r="B113" t="s">
        <v>130</v>
      </c>
      <c r="C113">
        <v>1.2</v>
      </c>
      <c r="D113">
        <v>113</v>
      </c>
      <c r="E113">
        <v>255</v>
      </c>
      <c r="F113">
        <v>7.8</v>
      </c>
      <c r="G113" t="s">
        <v>0</v>
      </c>
      <c r="H113">
        <f t="shared" si="1"/>
        <v>0.44313725490196076</v>
      </c>
    </row>
    <row r="114" spans="1:8" x14ac:dyDescent="0.3">
      <c r="A114" t="s">
        <v>299</v>
      </c>
      <c r="B114" t="s">
        <v>130</v>
      </c>
      <c r="C114">
        <v>1.2</v>
      </c>
      <c r="D114">
        <v>114</v>
      </c>
      <c r="E114">
        <v>250</v>
      </c>
      <c r="F114">
        <v>12</v>
      </c>
      <c r="G114" t="s">
        <v>0</v>
      </c>
      <c r="H114">
        <f t="shared" si="1"/>
        <v>0.45600000000000002</v>
      </c>
    </row>
    <row r="115" spans="1:8" x14ac:dyDescent="0.3">
      <c r="A115" t="s">
        <v>259</v>
      </c>
      <c r="B115" t="s">
        <v>130</v>
      </c>
      <c r="C115">
        <v>1.2</v>
      </c>
      <c r="D115">
        <v>114</v>
      </c>
      <c r="E115">
        <v>253</v>
      </c>
      <c r="F115">
        <v>11.5</v>
      </c>
      <c r="G115" t="s">
        <v>0</v>
      </c>
      <c r="H115">
        <f t="shared" si="1"/>
        <v>0.45059288537549408</v>
      </c>
    </row>
    <row r="116" spans="1:8" x14ac:dyDescent="0.3">
      <c r="A116" t="s">
        <v>335</v>
      </c>
      <c r="B116" t="s">
        <v>130</v>
      </c>
      <c r="C116">
        <v>1.2</v>
      </c>
      <c r="D116">
        <v>112</v>
      </c>
      <c r="E116">
        <v>251</v>
      </c>
      <c r="F116">
        <v>12</v>
      </c>
      <c r="G116" t="s">
        <v>0</v>
      </c>
      <c r="H116">
        <f t="shared" si="1"/>
        <v>0.44621513944223107</v>
      </c>
    </row>
    <row r="117" spans="1:8" x14ac:dyDescent="0.3">
      <c r="A117" t="s">
        <v>295</v>
      </c>
      <c r="B117" t="s">
        <v>130</v>
      </c>
      <c r="C117">
        <v>1.2</v>
      </c>
      <c r="D117">
        <v>113</v>
      </c>
      <c r="E117">
        <v>251</v>
      </c>
      <c r="F117">
        <v>27.9</v>
      </c>
      <c r="G117" t="s">
        <v>0</v>
      </c>
      <c r="H117">
        <f t="shared" si="1"/>
        <v>0.45019920318725098</v>
      </c>
    </row>
    <row r="118" spans="1:8" x14ac:dyDescent="0.3">
      <c r="A118" t="s">
        <v>255</v>
      </c>
      <c r="B118" t="s">
        <v>130</v>
      </c>
      <c r="C118">
        <v>1.2</v>
      </c>
      <c r="D118">
        <v>116</v>
      </c>
      <c r="E118">
        <v>257</v>
      </c>
      <c r="F118">
        <v>4.7</v>
      </c>
      <c r="G118" t="s">
        <v>0</v>
      </c>
      <c r="H118">
        <f t="shared" si="1"/>
        <v>0.45136186770428016</v>
      </c>
    </row>
    <row r="119" spans="1:8" x14ac:dyDescent="0.3">
      <c r="A119" t="s">
        <v>331</v>
      </c>
      <c r="B119" t="s">
        <v>130</v>
      </c>
      <c r="C119">
        <v>1.2</v>
      </c>
      <c r="D119">
        <v>108</v>
      </c>
      <c r="E119">
        <v>254</v>
      </c>
      <c r="F119">
        <v>10.6</v>
      </c>
      <c r="G119" t="s">
        <v>0</v>
      </c>
      <c r="H119">
        <f t="shared" si="1"/>
        <v>0.42519685039370081</v>
      </c>
    </row>
    <row r="120" spans="1:8" x14ac:dyDescent="0.3">
      <c r="A120" t="s">
        <v>291</v>
      </c>
      <c r="B120" t="s">
        <v>130</v>
      </c>
      <c r="C120">
        <v>1.2</v>
      </c>
      <c r="D120">
        <v>108</v>
      </c>
      <c r="E120">
        <v>251</v>
      </c>
      <c r="F120">
        <v>3.2</v>
      </c>
      <c r="G120" t="s">
        <v>0</v>
      </c>
      <c r="H120">
        <f t="shared" si="1"/>
        <v>0.4302788844621514</v>
      </c>
    </row>
    <row r="121" spans="1:8" x14ac:dyDescent="0.3">
      <c r="A121" t="s">
        <v>251</v>
      </c>
      <c r="B121" t="s">
        <v>130</v>
      </c>
      <c r="C121">
        <v>1.2</v>
      </c>
      <c r="D121">
        <v>113</v>
      </c>
      <c r="E121">
        <v>251</v>
      </c>
      <c r="F121">
        <v>8</v>
      </c>
      <c r="G121" t="s">
        <v>0</v>
      </c>
      <c r="H121">
        <f t="shared" si="1"/>
        <v>0.45019920318725098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E854-31DB-4237-A506-F4FFCFDBD26C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129</v>
      </c>
      <c r="B1" t="s">
        <v>128</v>
      </c>
      <c r="C1" t="s">
        <v>127</v>
      </c>
      <c r="D1" t="s">
        <v>126</v>
      </c>
      <c r="E1" t="s">
        <v>125</v>
      </c>
      <c r="F1" t="s">
        <v>124</v>
      </c>
      <c r="G1" t="s">
        <v>123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726</v>
      </c>
      <c r="B2" t="s">
        <v>1</v>
      </c>
      <c r="C2">
        <v>2</v>
      </c>
      <c r="D2">
        <v>47</v>
      </c>
      <c r="E2">
        <v>501</v>
      </c>
      <c r="F2">
        <v>62.5</v>
      </c>
      <c r="G2" t="s">
        <v>0</v>
      </c>
      <c r="H2">
        <f>D2/E2</f>
        <v>9.3812375249500993E-2</v>
      </c>
      <c r="J2" t="s">
        <v>1225</v>
      </c>
      <c r="K2">
        <f>AVERAGE(F2:F31)</f>
        <v>87.156666666666695</v>
      </c>
      <c r="L2">
        <f>MIN(F2:F31)</f>
        <v>62.5</v>
      </c>
      <c r="M2">
        <f>MAX(F2:F31)</f>
        <v>97.8</v>
      </c>
      <c r="N2">
        <f>AVERAGE(H2:H31)</f>
        <v>8.9677150848058926E-2</v>
      </c>
    </row>
    <row r="3" spans="1:14" x14ac:dyDescent="0.3">
      <c r="A3" t="s">
        <v>686</v>
      </c>
      <c r="B3" t="s">
        <v>1</v>
      </c>
      <c r="C3">
        <v>2</v>
      </c>
      <c r="D3">
        <v>46</v>
      </c>
      <c r="E3">
        <v>505</v>
      </c>
      <c r="F3">
        <v>89.7</v>
      </c>
      <c r="G3" t="s">
        <v>9</v>
      </c>
      <c r="H3">
        <f t="shared" ref="H3:H66" si="0">D3/E3</f>
        <v>9.1089108910891087E-2</v>
      </c>
      <c r="J3" t="s">
        <v>1226</v>
      </c>
      <c r="K3">
        <f>AVERAGE(F32:F61)</f>
        <v>63.226666666666674</v>
      </c>
      <c r="L3">
        <f>MIN(F32:F61)</f>
        <v>42.6</v>
      </c>
      <c r="M3">
        <f>MAX(F32:F61)</f>
        <v>91.7</v>
      </c>
      <c r="N3">
        <f>AVERAGE(H32:H61)</f>
        <v>0.12970370733091338</v>
      </c>
    </row>
    <row r="4" spans="1:14" x14ac:dyDescent="0.3">
      <c r="A4" t="s">
        <v>646</v>
      </c>
      <c r="B4" t="s">
        <v>1</v>
      </c>
      <c r="C4">
        <v>2</v>
      </c>
      <c r="D4">
        <v>44</v>
      </c>
      <c r="E4">
        <v>500</v>
      </c>
      <c r="F4">
        <v>92.8</v>
      </c>
      <c r="G4" t="s">
        <v>9</v>
      </c>
      <c r="H4">
        <f t="shared" si="0"/>
        <v>8.7999999999999995E-2</v>
      </c>
      <c r="J4" t="s">
        <v>1227</v>
      </c>
      <c r="K4">
        <f>AVERAGE(F62:F91)</f>
        <v>50.5</v>
      </c>
      <c r="L4">
        <f>MIN(F62:F91)</f>
        <v>34.9</v>
      </c>
      <c r="M4">
        <f>MAX(F62:F91)</f>
        <v>65.599999999999994</v>
      </c>
      <c r="N4">
        <f>AVERAGE(H62:H91)</f>
        <v>0.16773632191154159</v>
      </c>
    </row>
    <row r="5" spans="1:14" x14ac:dyDescent="0.3">
      <c r="A5" t="s">
        <v>730</v>
      </c>
      <c r="B5" t="s">
        <v>1</v>
      </c>
      <c r="C5">
        <v>2</v>
      </c>
      <c r="D5">
        <v>44</v>
      </c>
      <c r="E5">
        <v>504</v>
      </c>
      <c r="F5">
        <v>92.1</v>
      </c>
      <c r="G5" t="s">
        <v>9</v>
      </c>
      <c r="H5">
        <f t="shared" si="0"/>
        <v>8.7301587301587297E-2</v>
      </c>
      <c r="J5" t="s">
        <v>1228</v>
      </c>
      <c r="K5">
        <f>AVERAGE(F92:F121)</f>
        <v>42.76</v>
      </c>
      <c r="L5">
        <f>MIN(F92:F121)</f>
        <v>29.6</v>
      </c>
      <c r="M5">
        <f>MAX(F92:F121)</f>
        <v>65</v>
      </c>
      <c r="N5">
        <f>AVERAGE(H92:H121)</f>
        <v>0.20179286719325656</v>
      </c>
    </row>
    <row r="6" spans="1:14" x14ac:dyDescent="0.3">
      <c r="A6" t="s">
        <v>690</v>
      </c>
      <c r="B6" t="s">
        <v>1</v>
      </c>
      <c r="C6">
        <v>2</v>
      </c>
      <c r="D6">
        <v>45</v>
      </c>
      <c r="E6">
        <v>500</v>
      </c>
      <c r="F6">
        <v>90.8</v>
      </c>
      <c r="G6" t="s">
        <v>9</v>
      </c>
      <c r="H6">
        <f t="shared" si="0"/>
        <v>0.09</v>
      </c>
    </row>
    <row r="7" spans="1:14" x14ac:dyDescent="0.3">
      <c r="A7" t="s">
        <v>650</v>
      </c>
      <c r="B7" t="s">
        <v>1</v>
      </c>
      <c r="C7">
        <v>2</v>
      </c>
      <c r="D7">
        <v>46</v>
      </c>
      <c r="E7">
        <v>500</v>
      </c>
      <c r="F7">
        <v>82.4</v>
      </c>
      <c r="G7" t="s">
        <v>9</v>
      </c>
      <c r="H7">
        <f t="shared" si="0"/>
        <v>9.1999999999999998E-2</v>
      </c>
    </row>
    <row r="8" spans="1:14" x14ac:dyDescent="0.3">
      <c r="A8" t="s">
        <v>722</v>
      </c>
      <c r="B8" t="s">
        <v>1</v>
      </c>
      <c r="C8">
        <v>2</v>
      </c>
      <c r="D8">
        <v>44</v>
      </c>
      <c r="E8">
        <v>501</v>
      </c>
      <c r="F8">
        <v>76.8</v>
      </c>
      <c r="G8" t="s">
        <v>0</v>
      </c>
      <c r="H8">
        <f t="shared" si="0"/>
        <v>8.7824351297405193E-2</v>
      </c>
    </row>
    <row r="9" spans="1:14" x14ac:dyDescent="0.3">
      <c r="A9" t="s">
        <v>682</v>
      </c>
      <c r="B9" t="s">
        <v>1</v>
      </c>
      <c r="C9">
        <v>2</v>
      </c>
      <c r="D9">
        <v>45</v>
      </c>
      <c r="E9">
        <v>506</v>
      </c>
      <c r="F9">
        <v>92.3</v>
      </c>
      <c r="G9" t="s">
        <v>9</v>
      </c>
      <c r="H9">
        <f t="shared" si="0"/>
        <v>8.8932806324110672E-2</v>
      </c>
    </row>
    <row r="10" spans="1:14" x14ac:dyDescent="0.3">
      <c r="A10" t="s">
        <v>642</v>
      </c>
      <c r="B10" t="s">
        <v>1</v>
      </c>
      <c r="C10">
        <v>2</v>
      </c>
      <c r="D10">
        <v>43</v>
      </c>
      <c r="E10">
        <v>501</v>
      </c>
      <c r="F10">
        <v>85.6</v>
      </c>
      <c r="G10" t="s">
        <v>9</v>
      </c>
      <c r="H10">
        <f t="shared" si="0"/>
        <v>8.5828343313373259E-2</v>
      </c>
    </row>
    <row r="11" spans="1:14" x14ac:dyDescent="0.3">
      <c r="A11" t="s">
        <v>718</v>
      </c>
      <c r="B11" t="s">
        <v>1</v>
      </c>
      <c r="C11">
        <v>2</v>
      </c>
      <c r="D11">
        <v>43</v>
      </c>
      <c r="E11">
        <v>502</v>
      </c>
      <c r="F11">
        <v>88.6</v>
      </c>
      <c r="G11" t="s">
        <v>9</v>
      </c>
      <c r="H11">
        <f t="shared" si="0"/>
        <v>8.565737051792828E-2</v>
      </c>
    </row>
    <row r="12" spans="1:14" x14ac:dyDescent="0.3">
      <c r="A12" t="s">
        <v>678</v>
      </c>
      <c r="B12" t="s">
        <v>1</v>
      </c>
      <c r="C12">
        <v>2</v>
      </c>
      <c r="D12">
        <v>47</v>
      </c>
      <c r="E12">
        <v>507</v>
      </c>
      <c r="F12">
        <v>93.7</v>
      </c>
      <c r="G12" t="s">
        <v>9</v>
      </c>
      <c r="H12">
        <f t="shared" si="0"/>
        <v>9.270216962524655E-2</v>
      </c>
    </row>
    <row r="13" spans="1:14" x14ac:dyDescent="0.3">
      <c r="A13" t="s">
        <v>638</v>
      </c>
      <c r="B13" t="s">
        <v>1</v>
      </c>
      <c r="C13">
        <v>2</v>
      </c>
      <c r="D13">
        <v>45</v>
      </c>
      <c r="E13">
        <v>504</v>
      </c>
      <c r="F13">
        <v>89.5</v>
      </c>
      <c r="G13" t="s">
        <v>9</v>
      </c>
      <c r="H13">
        <f t="shared" si="0"/>
        <v>8.9285714285714288E-2</v>
      </c>
    </row>
    <row r="14" spans="1:14" x14ac:dyDescent="0.3">
      <c r="A14" t="s">
        <v>714</v>
      </c>
      <c r="B14" t="s">
        <v>1</v>
      </c>
      <c r="C14">
        <v>2</v>
      </c>
      <c r="D14">
        <v>44</v>
      </c>
      <c r="E14">
        <v>501</v>
      </c>
      <c r="F14">
        <v>93.2</v>
      </c>
      <c r="G14" t="s">
        <v>9</v>
      </c>
      <c r="H14">
        <f t="shared" si="0"/>
        <v>8.7824351297405193E-2</v>
      </c>
    </row>
    <row r="15" spans="1:14" x14ac:dyDescent="0.3">
      <c r="A15" t="s">
        <v>674</v>
      </c>
      <c r="B15" t="s">
        <v>1</v>
      </c>
      <c r="C15">
        <v>2</v>
      </c>
      <c r="D15">
        <v>46</v>
      </c>
      <c r="E15">
        <v>501</v>
      </c>
      <c r="F15">
        <v>92.2</v>
      </c>
      <c r="G15" t="s">
        <v>9</v>
      </c>
      <c r="H15">
        <f t="shared" si="0"/>
        <v>9.1816367265469059E-2</v>
      </c>
    </row>
    <row r="16" spans="1:14" x14ac:dyDescent="0.3">
      <c r="A16" t="s">
        <v>634</v>
      </c>
      <c r="B16" t="s">
        <v>1</v>
      </c>
      <c r="C16">
        <v>2</v>
      </c>
      <c r="D16">
        <v>44</v>
      </c>
      <c r="E16">
        <v>504</v>
      </c>
      <c r="F16">
        <v>90.1</v>
      </c>
      <c r="G16" t="s">
        <v>9</v>
      </c>
      <c r="H16">
        <f t="shared" si="0"/>
        <v>8.7301587301587297E-2</v>
      </c>
    </row>
    <row r="17" spans="1:8" x14ac:dyDescent="0.3">
      <c r="A17" t="s">
        <v>710</v>
      </c>
      <c r="B17" t="s">
        <v>1</v>
      </c>
      <c r="C17">
        <v>2</v>
      </c>
      <c r="D17">
        <v>44</v>
      </c>
      <c r="E17">
        <v>500</v>
      </c>
      <c r="F17">
        <v>90.2</v>
      </c>
      <c r="G17" t="s">
        <v>9</v>
      </c>
      <c r="H17">
        <f t="shared" si="0"/>
        <v>8.7999999999999995E-2</v>
      </c>
    </row>
    <row r="18" spans="1:8" x14ac:dyDescent="0.3">
      <c r="A18" t="s">
        <v>670</v>
      </c>
      <c r="B18" t="s">
        <v>1</v>
      </c>
      <c r="C18">
        <v>2</v>
      </c>
      <c r="D18">
        <v>43</v>
      </c>
      <c r="E18">
        <v>500</v>
      </c>
      <c r="F18">
        <v>91.2</v>
      </c>
      <c r="G18" t="s">
        <v>9</v>
      </c>
      <c r="H18">
        <f t="shared" si="0"/>
        <v>8.5999999999999993E-2</v>
      </c>
    </row>
    <row r="19" spans="1:8" x14ac:dyDescent="0.3">
      <c r="A19" t="s">
        <v>630</v>
      </c>
      <c r="B19" t="s">
        <v>1</v>
      </c>
      <c r="C19">
        <v>2</v>
      </c>
      <c r="D19">
        <v>46</v>
      </c>
      <c r="E19">
        <v>501</v>
      </c>
      <c r="F19">
        <v>72.900000000000006</v>
      </c>
      <c r="G19" t="s">
        <v>0</v>
      </c>
      <c r="H19">
        <f t="shared" si="0"/>
        <v>9.1816367265469059E-2</v>
      </c>
    </row>
    <row r="20" spans="1:8" x14ac:dyDescent="0.3">
      <c r="A20" t="s">
        <v>706</v>
      </c>
      <c r="B20" t="s">
        <v>1</v>
      </c>
      <c r="C20">
        <v>2</v>
      </c>
      <c r="D20">
        <v>47</v>
      </c>
      <c r="E20">
        <v>503</v>
      </c>
      <c r="F20">
        <v>72.400000000000006</v>
      </c>
      <c r="G20" t="s">
        <v>0</v>
      </c>
      <c r="H20">
        <f t="shared" si="0"/>
        <v>9.3439363817097415E-2</v>
      </c>
    </row>
    <row r="21" spans="1:8" x14ac:dyDescent="0.3">
      <c r="A21" t="s">
        <v>666</v>
      </c>
      <c r="B21" t="s">
        <v>1</v>
      </c>
      <c r="C21">
        <v>2</v>
      </c>
      <c r="D21">
        <v>44</v>
      </c>
      <c r="E21">
        <v>502</v>
      </c>
      <c r="F21">
        <v>97.8</v>
      </c>
      <c r="G21" t="s">
        <v>9</v>
      </c>
      <c r="H21">
        <f t="shared" si="0"/>
        <v>8.7649402390438252E-2</v>
      </c>
    </row>
    <row r="22" spans="1:8" x14ac:dyDescent="0.3">
      <c r="A22" t="s">
        <v>626</v>
      </c>
      <c r="B22" t="s">
        <v>1</v>
      </c>
      <c r="C22">
        <v>2</v>
      </c>
      <c r="D22">
        <v>47</v>
      </c>
      <c r="E22">
        <v>503</v>
      </c>
      <c r="F22">
        <v>75</v>
      </c>
      <c r="G22" t="s">
        <v>0</v>
      </c>
      <c r="H22">
        <f t="shared" si="0"/>
        <v>9.3439363817097415E-2</v>
      </c>
    </row>
    <row r="23" spans="1:8" x14ac:dyDescent="0.3">
      <c r="A23" t="s">
        <v>702</v>
      </c>
      <c r="B23" t="s">
        <v>1</v>
      </c>
      <c r="C23">
        <v>2</v>
      </c>
      <c r="D23">
        <v>44</v>
      </c>
      <c r="E23">
        <v>500</v>
      </c>
      <c r="F23">
        <v>73.8</v>
      </c>
      <c r="G23" t="s">
        <v>0</v>
      </c>
      <c r="H23">
        <f t="shared" si="0"/>
        <v>8.7999999999999995E-2</v>
      </c>
    </row>
    <row r="24" spans="1:8" x14ac:dyDescent="0.3">
      <c r="A24" t="s">
        <v>662</v>
      </c>
      <c r="B24" t="s">
        <v>1</v>
      </c>
      <c r="C24">
        <v>2</v>
      </c>
      <c r="D24">
        <v>45</v>
      </c>
      <c r="E24">
        <v>503</v>
      </c>
      <c r="F24">
        <v>84.5</v>
      </c>
      <c r="G24" t="s">
        <v>9</v>
      </c>
      <c r="H24">
        <f t="shared" si="0"/>
        <v>8.9463220675944338E-2</v>
      </c>
    </row>
    <row r="25" spans="1:8" x14ac:dyDescent="0.3">
      <c r="A25" t="s">
        <v>622</v>
      </c>
      <c r="B25" t="s">
        <v>1</v>
      </c>
      <c r="C25">
        <v>2</v>
      </c>
      <c r="D25">
        <v>44</v>
      </c>
      <c r="E25">
        <v>502</v>
      </c>
      <c r="F25">
        <v>94.8</v>
      </c>
      <c r="G25" t="s">
        <v>9</v>
      </c>
      <c r="H25">
        <f t="shared" si="0"/>
        <v>8.7649402390438252E-2</v>
      </c>
    </row>
    <row r="26" spans="1:8" x14ac:dyDescent="0.3">
      <c r="A26" t="s">
        <v>698</v>
      </c>
      <c r="B26" t="s">
        <v>1</v>
      </c>
      <c r="C26">
        <v>2</v>
      </c>
      <c r="D26">
        <v>47</v>
      </c>
      <c r="E26">
        <v>502</v>
      </c>
      <c r="F26">
        <v>88</v>
      </c>
      <c r="G26" t="s">
        <v>9</v>
      </c>
      <c r="H26">
        <f t="shared" si="0"/>
        <v>9.3625498007968128E-2</v>
      </c>
    </row>
    <row r="27" spans="1:8" x14ac:dyDescent="0.3">
      <c r="A27" t="s">
        <v>658</v>
      </c>
      <c r="B27" t="s">
        <v>1</v>
      </c>
      <c r="C27">
        <v>2</v>
      </c>
      <c r="D27">
        <v>46</v>
      </c>
      <c r="E27">
        <v>503</v>
      </c>
      <c r="F27">
        <v>94</v>
      </c>
      <c r="G27" t="s">
        <v>9</v>
      </c>
      <c r="H27">
        <f t="shared" si="0"/>
        <v>9.1451292246520877E-2</v>
      </c>
    </row>
    <row r="28" spans="1:8" x14ac:dyDescent="0.3">
      <c r="A28" t="s">
        <v>618</v>
      </c>
      <c r="B28" t="s">
        <v>1</v>
      </c>
      <c r="C28">
        <v>2</v>
      </c>
      <c r="D28">
        <v>46</v>
      </c>
      <c r="E28">
        <v>505</v>
      </c>
      <c r="F28">
        <v>95.6</v>
      </c>
      <c r="G28" t="s">
        <v>9</v>
      </c>
      <c r="H28">
        <f t="shared" si="0"/>
        <v>9.1089108910891087E-2</v>
      </c>
    </row>
    <row r="29" spans="1:8" x14ac:dyDescent="0.3">
      <c r="A29" t="s">
        <v>694</v>
      </c>
      <c r="B29" t="s">
        <v>1</v>
      </c>
      <c r="C29">
        <v>2</v>
      </c>
      <c r="D29">
        <v>46</v>
      </c>
      <c r="E29">
        <v>501</v>
      </c>
      <c r="F29">
        <v>86.8</v>
      </c>
      <c r="G29" t="s">
        <v>9</v>
      </c>
      <c r="H29">
        <f t="shared" si="0"/>
        <v>9.1816367265469059E-2</v>
      </c>
    </row>
    <row r="30" spans="1:8" x14ac:dyDescent="0.3">
      <c r="A30" t="s">
        <v>654</v>
      </c>
      <c r="B30" t="s">
        <v>1</v>
      </c>
      <c r="C30">
        <v>2</v>
      </c>
      <c r="D30">
        <v>47</v>
      </c>
      <c r="E30">
        <v>500</v>
      </c>
      <c r="F30">
        <v>92.4</v>
      </c>
      <c r="G30" t="s">
        <v>9</v>
      </c>
      <c r="H30">
        <f t="shared" si="0"/>
        <v>9.4E-2</v>
      </c>
    </row>
    <row r="31" spans="1:8" x14ac:dyDescent="0.3">
      <c r="A31" t="s">
        <v>614</v>
      </c>
      <c r="B31" t="s">
        <v>1</v>
      </c>
      <c r="C31">
        <v>2</v>
      </c>
      <c r="D31">
        <v>42</v>
      </c>
      <c r="E31">
        <v>503</v>
      </c>
      <c r="F31">
        <v>93</v>
      </c>
      <c r="G31" t="s">
        <v>9</v>
      </c>
      <c r="H31">
        <f t="shared" si="0"/>
        <v>8.3499005964214709E-2</v>
      </c>
    </row>
    <row r="32" spans="1:8" x14ac:dyDescent="0.3">
      <c r="A32" t="s">
        <v>725</v>
      </c>
      <c r="B32" t="s">
        <v>1</v>
      </c>
      <c r="C32">
        <v>3</v>
      </c>
      <c r="D32">
        <v>66</v>
      </c>
      <c r="E32">
        <v>501</v>
      </c>
      <c r="F32">
        <v>48.5</v>
      </c>
      <c r="G32" t="s">
        <v>0</v>
      </c>
      <c r="H32">
        <f t="shared" si="0"/>
        <v>0.1317365269461078</v>
      </c>
    </row>
    <row r="33" spans="1:8" x14ac:dyDescent="0.3">
      <c r="A33" t="s">
        <v>685</v>
      </c>
      <c r="B33" t="s">
        <v>1</v>
      </c>
      <c r="C33">
        <v>3</v>
      </c>
      <c r="D33">
        <v>67</v>
      </c>
      <c r="E33">
        <v>505</v>
      </c>
      <c r="F33">
        <v>66.099999999999994</v>
      </c>
      <c r="G33" t="s">
        <v>0</v>
      </c>
      <c r="H33">
        <f t="shared" si="0"/>
        <v>0.13267326732673268</v>
      </c>
    </row>
    <row r="34" spans="1:8" x14ac:dyDescent="0.3">
      <c r="A34" t="s">
        <v>645</v>
      </c>
      <c r="B34" t="s">
        <v>1</v>
      </c>
      <c r="C34">
        <v>3</v>
      </c>
      <c r="D34">
        <v>64</v>
      </c>
      <c r="E34">
        <v>500</v>
      </c>
      <c r="F34">
        <v>55</v>
      </c>
      <c r="G34" t="s">
        <v>0</v>
      </c>
      <c r="H34">
        <f t="shared" si="0"/>
        <v>0.128</v>
      </c>
    </row>
    <row r="35" spans="1:8" x14ac:dyDescent="0.3">
      <c r="A35" t="s">
        <v>729</v>
      </c>
      <c r="B35" t="s">
        <v>1</v>
      </c>
      <c r="C35">
        <v>3</v>
      </c>
      <c r="D35">
        <v>65</v>
      </c>
      <c r="E35">
        <v>504</v>
      </c>
      <c r="F35">
        <v>63.1</v>
      </c>
      <c r="G35" t="s">
        <v>0</v>
      </c>
      <c r="H35">
        <f t="shared" si="0"/>
        <v>0.12896825396825398</v>
      </c>
    </row>
    <row r="36" spans="1:8" x14ac:dyDescent="0.3">
      <c r="A36" t="s">
        <v>689</v>
      </c>
      <c r="B36" t="s">
        <v>1</v>
      </c>
      <c r="C36">
        <v>3</v>
      </c>
      <c r="D36">
        <v>64</v>
      </c>
      <c r="E36">
        <v>500</v>
      </c>
      <c r="F36">
        <v>80.8</v>
      </c>
      <c r="G36" t="s">
        <v>9</v>
      </c>
      <c r="H36">
        <f t="shared" si="0"/>
        <v>0.128</v>
      </c>
    </row>
    <row r="37" spans="1:8" x14ac:dyDescent="0.3">
      <c r="A37" t="s">
        <v>649</v>
      </c>
      <c r="B37" t="s">
        <v>1</v>
      </c>
      <c r="C37">
        <v>3</v>
      </c>
      <c r="D37">
        <v>68</v>
      </c>
      <c r="E37">
        <v>500</v>
      </c>
      <c r="F37">
        <v>44.8</v>
      </c>
      <c r="G37" t="s">
        <v>0</v>
      </c>
      <c r="H37">
        <f t="shared" si="0"/>
        <v>0.13600000000000001</v>
      </c>
    </row>
    <row r="38" spans="1:8" x14ac:dyDescent="0.3">
      <c r="A38" t="s">
        <v>721</v>
      </c>
      <c r="B38" t="s">
        <v>1</v>
      </c>
      <c r="C38">
        <v>3</v>
      </c>
      <c r="D38">
        <v>64</v>
      </c>
      <c r="E38">
        <v>501</v>
      </c>
      <c r="F38">
        <v>85.4</v>
      </c>
      <c r="G38" t="s">
        <v>9</v>
      </c>
      <c r="H38">
        <f t="shared" si="0"/>
        <v>0.1277445109780439</v>
      </c>
    </row>
    <row r="39" spans="1:8" x14ac:dyDescent="0.3">
      <c r="A39" t="s">
        <v>681</v>
      </c>
      <c r="B39" t="s">
        <v>1</v>
      </c>
      <c r="C39">
        <v>3</v>
      </c>
      <c r="D39">
        <v>65</v>
      </c>
      <c r="E39">
        <v>506</v>
      </c>
      <c r="F39">
        <v>51.6</v>
      </c>
      <c r="G39" t="s">
        <v>0</v>
      </c>
      <c r="H39">
        <f t="shared" si="0"/>
        <v>0.12845849802371542</v>
      </c>
    </row>
    <row r="40" spans="1:8" x14ac:dyDescent="0.3">
      <c r="A40" t="s">
        <v>641</v>
      </c>
      <c r="B40" t="s">
        <v>1</v>
      </c>
      <c r="C40">
        <v>3</v>
      </c>
      <c r="D40">
        <v>63</v>
      </c>
      <c r="E40">
        <v>501</v>
      </c>
      <c r="F40">
        <v>54.1</v>
      </c>
      <c r="G40" t="s">
        <v>0</v>
      </c>
      <c r="H40">
        <f t="shared" si="0"/>
        <v>0.12574850299401197</v>
      </c>
    </row>
    <row r="41" spans="1:8" x14ac:dyDescent="0.3">
      <c r="A41" t="s">
        <v>717</v>
      </c>
      <c r="B41" t="s">
        <v>1</v>
      </c>
      <c r="C41">
        <v>3</v>
      </c>
      <c r="D41">
        <v>62</v>
      </c>
      <c r="E41">
        <v>502</v>
      </c>
      <c r="F41">
        <v>73.7</v>
      </c>
      <c r="G41" t="s">
        <v>0</v>
      </c>
      <c r="H41">
        <f t="shared" si="0"/>
        <v>0.12350597609561753</v>
      </c>
    </row>
    <row r="42" spans="1:8" x14ac:dyDescent="0.3">
      <c r="A42" t="s">
        <v>677</v>
      </c>
      <c r="B42" t="s">
        <v>1</v>
      </c>
      <c r="C42">
        <v>3</v>
      </c>
      <c r="D42">
        <v>69</v>
      </c>
      <c r="E42">
        <v>507</v>
      </c>
      <c r="F42">
        <v>91.7</v>
      </c>
      <c r="G42" t="s">
        <v>9</v>
      </c>
      <c r="H42">
        <f t="shared" si="0"/>
        <v>0.13609467455621302</v>
      </c>
    </row>
    <row r="43" spans="1:8" x14ac:dyDescent="0.3">
      <c r="A43" t="s">
        <v>637</v>
      </c>
      <c r="B43" t="s">
        <v>1</v>
      </c>
      <c r="C43">
        <v>3</v>
      </c>
      <c r="D43">
        <v>64</v>
      </c>
      <c r="E43">
        <v>504</v>
      </c>
      <c r="F43">
        <v>58.3</v>
      </c>
      <c r="G43" t="s">
        <v>0</v>
      </c>
      <c r="H43">
        <f t="shared" si="0"/>
        <v>0.12698412698412698</v>
      </c>
    </row>
    <row r="44" spans="1:8" x14ac:dyDescent="0.3">
      <c r="A44" t="s">
        <v>713</v>
      </c>
      <c r="B44" t="s">
        <v>1</v>
      </c>
      <c r="C44">
        <v>3</v>
      </c>
      <c r="D44">
        <v>65</v>
      </c>
      <c r="E44">
        <v>501</v>
      </c>
      <c r="F44">
        <v>67.099999999999994</v>
      </c>
      <c r="G44" t="s">
        <v>0</v>
      </c>
      <c r="H44">
        <f t="shared" si="0"/>
        <v>0.12974051896207583</v>
      </c>
    </row>
    <row r="45" spans="1:8" x14ac:dyDescent="0.3">
      <c r="A45" t="s">
        <v>673</v>
      </c>
      <c r="B45" t="s">
        <v>1</v>
      </c>
      <c r="C45">
        <v>3</v>
      </c>
      <c r="D45">
        <v>66</v>
      </c>
      <c r="E45">
        <v>501</v>
      </c>
      <c r="F45">
        <v>59.9</v>
      </c>
      <c r="G45" t="s">
        <v>0</v>
      </c>
      <c r="H45">
        <f t="shared" si="0"/>
        <v>0.1317365269461078</v>
      </c>
    </row>
    <row r="46" spans="1:8" x14ac:dyDescent="0.3">
      <c r="A46" t="s">
        <v>633</v>
      </c>
      <c r="B46" t="s">
        <v>1</v>
      </c>
      <c r="C46">
        <v>3</v>
      </c>
      <c r="D46">
        <v>64</v>
      </c>
      <c r="E46">
        <v>504</v>
      </c>
      <c r="F46">
        <v>56.3</v>
      </c>
      <c r="G46" t="s">
        <v>0</v>
      </c>
      <c r="H46">
        <f t="shared" si="0"/>
        <v>0.12698412698412698</v>
      </c>
    </row>
    <row r="47" spans="1:8" x14ac:dyDescent="0.3">
      <c r="A47" t="s">
        <v>709</v>
      </c>
      <c r="B47" t="s">
        <v>1</v>
      </c>
      <c r="C47">
        <v>3</v>
      </c>
      <c r="D47">
        <v>65</v>
      </c>
      <c r="E47">
        <v>500</v>
      </c>
      <c r="F47">
        <v>42.6</v>
      </c>
      <c r="G47" t="s">
        <v>0</v>
      </c>
      <c r="H47">
        <f t="shared" si="0"/>
        <v>0.13</v>
      </c>
    </row>
    <row r="48" spans="1:8" x14ac:dyDescent="0.3">
      <c r="A48" t="s">
        <v>669</v>
      </c>
      <c r="B48" t="s">
        <v>1</v>
      </c>
      <c r="C48">
        <v>3</v>
      </c>
      <c r="D48">
        <v>62</v>
      </c>
      <c r="E48">
        <v>500</v>
      </c>
      <c r="F48">
        <v>89.6</v>
      </c>
      <c r="G48" t="s">
        <v>9</v>
      </c>
      <c r="H48">
        <f t="shared" si="0"/>
        <v>0.124</v>
      </c>
    </row>
    <row r="49" spans="1:8" x14ac:dyDescent="0.3">
      <c r="A49" t="s">
        <v>629</v>
      </c>
      <c r="B49" t="s">
        <v>1</v>
      </c>
      <c r="C49">
        <v>3</v>
      </c>
      <c r="D49">
        <v>66</v>
      </c>
      <c r="E49">
        <v>501</v>
      </c>
      <c r="F49">
        <v>52.5</v>
      </c>
      <c r="G49" t="s">
        <v>0</v>
      </c>
      <c r="H49">
        <f t="shared" si="0"/>
        <v>0.1317365269461078</v>
      </c>
    </row>
    <row r="50" spans="1:8" x14ac:dyDescent="0.3">
      <c r="A50" t="s">
        <v>705</v>
      </c>
      <c r="B50" t="s">
        <v>1</v>
      </c>
      <c r="C50">
        <v>3</v>
      </c>
      <c r="D50">
        <v>67</v>
      </c>
      <c r="E50">
        <v>503</v>
      </c>
      <c r="F50">
        <v>43.9</v>
      </c>
      <c r="G50" t="s">
        <v>0</v>
      </c>
      <c r="H50">
        <f t="shared" si="0"/>
        <v>0.13320079522862824</v>
      </c>
    </row>
    <row r="51" spans="1:8" x14ac:dyDescent="0.3">
      <c r="A51" t="s">
        <v>665</v>
      </c>
      <c r="B51" t="s">
        <v>1</v>
      </c>
      <c r="C51">
        <v>3</v>
      </c>
      <c r="D51">
        <v>62</v>
      </c>
      <c r="E51">
        <v>502</v>
      </c>
      <c r="F51">
        <v>78.099999999999994</v>
      </c>
      <c r="G51" t="s">
        <v>0</v>
      </c>
      <c r="H51">
        <f t="shared" si="0"/>
        <v>0.12350597609561753</v>
      </c>
    </row>
    <row r="52" spans="1:8" x14ac:dyDescent="0.3">
      <c r="A52" t="s">
        <v>625</v>
      </c>
      <c r="B52" t="s">
        <v>1</v>
      </c>
      <c r="C52">
        <v>3</v>
      </c>
      <c r="D52">
        <v>64</v>
      </c>
      <c r="E52">
        <v>503</v>
      </c>
      <c r="F52">
        <v>68</v>
      </c>
      <c r="G52" t="s">
        <v>0</v>
      </c>
      <c r="H52">
        <f t="shared" si="0"/>
        <v>0.1272365805168986</v>
      </c>
    </row>
    <row r="53" spans="1:8" x14ac:dyDescent="0.3">
      <c r="A53" t="s">
        <v>701</v>
      </c>
      <c r="B53" t="s">
        <v>1</v>
      </c>
      <c r="C53">
        <v>3</v>
      </c>
      <c r="D53">
        <v>65</v>
      </c>
      <c r="E53">
        <v>500</v>
      </c>
      <c r="F53">
        <v>52.6</v>
      </c>
      <c r="G53" t="s">
        <v>0</v>
      </c>
      <c r="H53">
        <f t="shared" si="0"/>
        <v>0.13</v>
      </c>
    </row>
    <row r="54" spans="1:8" x14ac:dyDescent="0.3">
      <c r="A54" t="s">
        <v>661</v>
      </c>
      <c r="B54" t="s">
        <v>1</v>
      </c>
      <c r="C54">
        <v>3</v>
      </c>
      <c r="D54">
        <v>64</v>
      </c>
      <c r="E54">
        <v>503</v>
      </c>
      <c r="F54">
        <v>78.3</v>
      </c>
      <c r="G54" t="s">
        <v>0</v>
      </c>
      <c r="H54">
        <f t="shared" si="0"/>
        <v>0.1272365805168986</v>
      </c>
    </row>
    <row r="55" spans="1:8" x14ac:dyDescent="0.3">
      <c r="A55" t="s">
        <v>621</v>
      </c>
      <c r="B55" t="s">
        <v>1</v>
      </c>
      <c r="C55">
        <v>3</v>
      </c>
      <c r="D55">
        <v>65</v>
      </c>
      <c r="E55">
        <v>502</v>
      </c>
      <c r="F55">
        <v>53.6</v>
      </c>
      <c r="G55" t="s">
        <v>0</v>
      </c>
      <c r="H55">
        <f t="shared" si="0"/>
        <v>0.12948207171314741</v>
      </c>
    </row>
    <row r="56" spans="1:8" x14ac:dyDescent="0.3">
      <c r="A56" t="s">
        <v>697</v>
      </c>
      <c r="B56" t="s">
        <v>1</v>
      </c>
      <c r="C56">
        <v>3</v>
      </c>
      <c r="D56">
        <v>65</v>
      </c>
      <c r="E56">
        <v>502</v>
      </c>
      <c r="F56">
        <v>67.900000000000006</v>
      </c>
      <c r="G56" t="s">
        <v>0</v>
      </c>
      <c r="H56">
        <f t="shared" si="0"/>
        <v>0.12948207171314741</v>
      </c>
    </row>
    <row r="57" spans="1:8" x14ac:dyDescent="0.3">
      <c r="A57" t="s">
        <v>657</v>
      </c>
      <c r="B57" t="s">
        <v>1</v>
      </c>
      <c r="C57">
        <v>3</v>
      </c>
      <c r="D57">
        <v>66</v>
      </c>
      <c r="E57">
        <v>503</v>
      </c>
      <c r="F57">
        <v>46.5</v>
      </c>
      <c r="G57" t="s">
        <v>0</v>
      </c>
      <c r="H57">
        <f t="shared" si="0"/>
        <v>0.1312127236580517</v>
      </c>
    </row>
    <row r="58" spans="1:8" x14ac:dyDescent="0.3">
      <c r="A58" t="s">
        <v>617</v>
      </c>
      <c r="B58" t="s">
        <v>1</v>
      </c>
      <c r="C58">
        <v>3</v>
      </c>
      <c r="D58">
        <v>67</v>
      </c>
      <c r="E58">
        <v>505</v>
      </c>
      <c r="F58">
        <v>81.8</v>
      </c>
      <c r="G58" t="s">
        <v>9</v>
      </c>
      <c r="H58">
        <f t="shared" si="0"/>
        <v>0.13267326732673268</v>
      </c>
    </row>
    <row r="59" spans="1:8" x14ac:dyDescent="0.3">
      <c r="A59" t="s">
        <v>693</v>
      </c>
      <c r="B59" t="s">
        <v>1</v>
      </c>
      <c r="C59">
        <v>3</v>
      </c>
      <c r="D59">
        <v>67</v>
      </c>
      <c r="E59">
        <v>501</v>
      </c>
      <c r="F59">
        <v>76.2</v>
      </c>
      <c r="G59" t="s">
        <v>0</v>
      </c>
      <c r="H59">
        <f t="shared" si="0"/>
        <v>0.13373253493013973</v>
      </c>
    </row>
    <row r="60" spans="1:8" x14ac:dyDescent="0.3">
      <c r="A60" t="s">
        <v>653</v>
      </c>
      <c r="B60" t="s">
        <v>1</v>
      </c>
      <c r="C60">
        <v>3</v>
      </c>
      <c r="D60">
        <v>69</v>
      </c>
      <c r="E60">
        <v>500</v>
      </c>
      <c r="F60">
        <v>48.4</v>
      </c>
      <c r="G60" t="s">
        <v>0</v>
      </c>
      <c r="H60">
        <f t="shared" si="0"/>
        <v>0.13800000000000001</v>
      </c>
    </row>
    <row r="61" spans="1:8" x14ac:dyDescent="0.3">
      <c r="A61" t="s">
        <v>613</v>
      </c>
      <c r="B61" t="s">
        <v>1</v>
      </c>
      <c r="C61">
        <v>3</v>
      </c>
      <c r="D61">
        <v>64</v>
      </c>
      <c r="E61">
        <v>503</v>
      </c>
      <c r="F61">
        <v>60.4</v>
      </c>
      <c r="G61" t="s">
        <v>0</v>
      </c>
      <c r="H61">
        <f t="shared" si="0"/>
        <v>0.1272365805168986</v>
      </c>
    </row>
    <row r="62" spans="1:8" x14ac:dyDescent="0.3">
      <c r="A62" t="s">
        <v>724</v>
      </c>
      <c r="B62" t="s">
        <v>1</v>
      </c>
      <c r="C62">
        <v>4</v>
      </c>
      <c r="D62">
        <v>87</v>
      </c>
      <c r="E62">
        <v>501</v>
      </c>
      <c r="F62">
        <v>37.299999999999997</v>
      </c>
      <c r="G62" t="s">
        <v>0</v>
      </c>
      <c r="H62">
        <f t="shared" si="0"/>
        <v>0.17365269461077845</v>
      </c>
    </row>
    <row r="63" spans="1:8" x14ac:dyDescent="0.3">
      <c r="A63" t="s">
        <v>684</v>
      </c>
      <c r="B63" t="s">
        <v>1</v>
      </c>
      <c r="C63">
        <v>4</v>
      </c>
      <c r="D63">
        <v>85</v>
      </c>
      <c r="E63">
        <v>505</v>
      </c>
      <c r="F63">
        <v>34.9</v>
      </c>
      <c r="G63" t="s">
        <v>0</v>
      </c>
      <c r="H63">
        <f t="shared" si="0"/>
        <v>0.16831683168316833</v>
      </c>
    </row>
    <row r="64" spans="1:8" x14ac:dyDescent="0.3">
      <c r="A64" t="s">
        <v>644</v>
      </c>
      <c r="B64" t="s">
        <v>1</v>
      </c>
      <c r="C64">
        <v>4</v>
      </c>
      <c r="D64">
        <v>82</v>
      </c>
      <c r="E64">
        <v>500</v>
      </c>
      <c r="F64">
        <v>58.4</v>
      </c>
      <c r="G64" t="s">
        <v>0</v>
      </c>
      <c r="H64">
        <f t="shared" si="0"/>
        <v>0.16400000000000001</v>
      </c>
    </row>
    <row r="65" spans="1:8" x14ac:dyDescent="0.3">
      <c r="A65" t="s">
        <v>728</v>
      </c>
      <c r="B65" t="s">
        <v>1</v>
      </c>
      <c r="C65">
        <v>4</v>
      </c>
      <c r="D65">
        <v>85</v>
      </c>
      <c r="E65">
        <v>504</v>
      </c>
      <c r="F65">
        <v>37.5</v>
      </c>
      <c r="G65" t="s">
        <v>0</v>
      </c>
      <c r="H65">
        <f t="shared" si="0"/>
        <v>0.16865079365079366</v>
      </c>
    </row>
    <row r="66" spans="1:8" x14ac:dyDescent="0.3">
      <c r="A66" t="s">
        <v>688</v>
      </c>
      <c r="B66" t="s">
        <v>1</v>
      </c>
      <c r="C66">
        <v>4</v>
      </c>
      <c r="D66">
        <v>82</v>
      </c>
      <c r="E66">
        <v>500</v>
      </c>
      <c r="F66">
        <v>65.599999999999994</v>
      </c>
      <c r="G66" t="s">
        <v>0</v>
      </c>
      <c r="H66">
        <f t="shared" si="0"/>
        <v>0.16400000000000001</v>
      </c>
    </row>
    <row r="67" spans="1:8" x14ac:dyDescent="0.3">
      <c r="A67" t="s">
        <v>648</v>
      </c>
      <c r="B67" t="s">
        <v>1</v>
      </c>
      <c r="C67">
        <v>4</v>
      </c>
      <c r="D67">
        <v>86</v>
      </c>
      <c r="E67">
        <v>500</v>
      </c>
      <c r="F67">
        <v>52</v>
      </c>
      <c r="G67" t="s">
        <v>0</v>
      </c>
      <c r="H67">
        <f t="shared" ref="H67:H121" si="1">D67/E67</f>
        <v>0.17199999999999999</v>
      </c>
    </row>
    <row r="68" spans="1:8" x14ac:dyDescent="0.3">
      <c r="A68" t="s">
        <v>720</v>
      </c>
      <c r="B68" t="s">
        <v>1</v>
      </c>
      <c r="C68">
        <v>4</v>
      </c>
      <c r="D68">
        <v>84</v>
      </c>
      <c r="E68">
        <v>501</v>
      </c>
      <c r="F68">
        <v>58.1</v>
      </c>
      <c r="G68" t="s">
        <v>0</v>
      </c>
      <c r="H68">
        <f t="shared" si="1"/>
        <v>0.16766467065868262</v>
      </c>
    </row>
    <row r="69" spans="1:8" x14ac:dyDescent="0.3">
      <c r="A69" t="s">
        <v>680</v>
      </c>
      <c r="B69" t="s">
        <v>1</v>
      </c>
      <c r="C69">
        <v>4</v>
      </c>
      <c r="D69">
        <v>87</v>
      </c>
      <c r="E69">
        <v>506</v>
      </c>
      <c r="F69">
        <v>54.3</v>
      </c>
      <c r="G69" t="s">
        <v>0</v>
      </c>
      <c r="H69">
        <f t="shared" si="1"/>
        <v>0.17193675889328064</v>
      </c>
    </row>
    <row r="70" spans="1:8" x14ac:dyDescent="0.3">
      <c r="A70" t="s">
        <v>640</v>
      </c>
      <c r="B70" t="s">
        <v>1</v>
      </c>
      <c r="C70">
        <v>4</v>
      </c>
      <c r="D70">
        <v>80</v>
      </c>
      <c r="E70">
        <v>501</v>
      </c>
      <c r="F70">
        <v>59.9</v>
      </c>
      <c r="G70" t="s">
        <v>0</v>
      </c>
      <c r="H70">
        <f t="shared" si="1"/>
        <v>0.15968063872255489</v>
      </c>
    </row>
    <row r="71" spans="1:8" x14ac:dyDescent="0.3">
      <c r="A71" t="s">
        <v>716</v>
      </c>
      <c r="B71" t="s">
        <v>1</v>
      </c>
      <c r="C71">
        <v>4</v>
      </c>
      <c r="D71">
        <v>82</v>
      </c>
      <c r="E71">
        <v>502</v>
      </c>
      <c r="F71">
        <v>54.8</v>
      </c>
      <c r="G71" t="s">
        <v>0</v>
      </c>
      <c r="H71">
        <f t="shared" si="1"/>
        <v>0.16334661354581673</v>
      </c>
    </row>
    <row r="72" spans="1:8" x14ac:dyDescent="0.3">
      <c r="A72" t="s">
        <v>676</v>
      </c>
      <c r="B72" t="s">
        <v>1</v>
      </c>
      <c r="C72">
        <v>4</v>
      </c>
      <c r="D72">
        <v>85</v>
      </c>
      <c r="E72">
        <v>507</v>
      </c>
      <c r="F72">
        <v>62.3</v>
      </c>
      <c r="G72" t="s">
        <v>0</v>
      </c>
      <c r="H72">
        <f t="shared" si="1"/>
        <v>0.16765285996055226</v>
      </c>
    </row>
    <row r="73" spans="1:8" x14ac:dyDescent="0.3">
      <c r="A73" t="s">
        <v>636</v>
      </c>
      <c r="B73" t="s">
        <v>1</v>
      </c>
      <c r="C73">
        <v>4</v>
      </c>
      <c r="D73">
        <v>83</v>
      </c>
      <c r="E73">
        <v>504</v>
      </c>
      <c r="F73">
        <v>40.299999999999997</v>
      </c>
      <c r="G73" t="s">
        <v>0</v>
      </c>
      <c r="H73">
        <f t="shared" si="1"/>
        <v>0.16468253968253968</v>
      </c>
    </row>
    <row r="74" spans="1:8" x14ac:dyDescent="0.3">
      <c r="A74" t="s">
        <v>712</v>
      </c>
      <c r="B74" t="s">
        <v>1</v>
      </c>
      <c r="C74">
        <v>4</v>
      </c>
      <c r="D74">
        <v>82</v>
      </c>
      <c r="E74">
        <v>501</v>
      </c>
      <c r="F74">
        <v>44.5</v>
      </c>
      <c r="G74" t="s">
        <v>0</v>
      </c>
      <c r="H74">
        <f t="shared" si="1"/>
        <v>0.16367265469061876</v>
      </c>
    </row>
    <row r="75" spans="1:8" x14ac:dyDescent="0.3">
      <c r="A75" t="s">
        <v>672</v>
      </c>
      <c r="B75" t="s">
        <v>1</v>
      </c>
      <c r="C75">
        <v>4</v>
      </c>
      <c r="D75">
        <v>82</v>
      </c>
      <c r="E75">
        <v>501</v>
      </c>
      <c r="F75">
        <v>64.7</v>
      </c>
      <c r="G75" t="s">
        <v>0</v>
      </c>
      <c r="H75">
        <f t="shared" si="1"/>
        <v>0.16367265469061876</v>
      </c>
    </row>
    <row r="76" spans="1:8" x14ac:dyDescent="0.3">
      <c r="A76" t="s">
        <v>632</v>
      </c>
      <c r="B76" t="s">
        <v>1</v>
      </c>
      <c r="C76">
        <v>4</v>
      </c>
      <c r="D76">
        <v>82</v>
      </c>
      <c r="E76">
        <v>504</v>
      </c>
      <c r="F76">
        <v>56.3</v>
      </c>
      <c r="G76" t="s">
        <v>0</v>
      </c>
      <c r="H76">
        <f t="shared" si="1"/>
        <v>0.1626984126984127</v>
      </c>
    </row>
    <row r="77" spans="1:8" x14ac:dyDescent="0.3">
      <c r="A77" t="s">
        <v>708</v>
      </c>
      <c r="B77" t="s">
        <v>1</v>
      </c>
      <c r="C77">
        <v>4</v>
      </c>
      <c r="D77">
        <v>81</v>
      </c>
      <c r="E77">
        <v>500</v>
      </c>
      <c r="F77">
        <v>36.6</v>
      </c>
      <c r="G77" t="s">
        <v>0</v>
      </c>
      <c r="H77">
        <f t="shared" si="1"/>
        <v>0.16200000000000001</v>
      </c>
    </row>
    <row r="78" spans="1:8" x14ac:dyDescent="0.3">
      <c r="A78" t="s">
        <v>668</v>
      </c>
      <c r="B78" t="s">
        <v>1</v>
      </c>
      <c r="C78">
        <v>4</v>
      </c>
      <c r="D78">
        <v>82</v>
      </c>
      <c r="E78">
        <v>500</v>
      </c>
      <c r="F78">
        <v>65</v>
      </c>
      <c r="G78" t="s">
        <v>0</v>
      </c>
      <c r="H78">
        <f t="shared" si="1"/>
        <v>0.16400000000000001</v>
      </c>
    </row>
    <row r="79" spans="1:8" x14ac:dyDescent="0.3">
      <c r="A79" t="s">
        <v>628</v>
      </c>
      <c r="B79" t="s">
        <v>1</v>
      </c>
      <c r="C79">
        <v>4</v>
      </c>
      <c r="D79">
        <v>83</v>
      </c>
      <c r="E79">
        <v>501</v>
      </c>
      <c r="F79">
        <v>50.5</v>
      </c>
      <c r="G79" t="s">
        <v>0</v>
      </c>
      <c r="H79">
        <f t="shared" si="1"/>
        <v>0.16566866267465069</v>
      </c>
    </row>
    <row r="80" spans="1:8" x14ac:dyDescent="0.3">
      <c r="A80" t="s">
        <v>704</v>
      </c>
      <c r="B80" t="s">
        <v>1</v>
      </c>
      <c r="C80">
        <v>4</v>
      </c>
      <c r="D80">
        <v>85</v>
      </c>
      <c r="E80">
        <v>503</v>
      </c>
      <c r="F80">
        <v>43.5</v>
      </c>
      <c r="G80" t="s">
        <v>0</v>
      </c>
      <c r="H80">
        <f t="shared" si="1"/>
        <v>0.16898608349900596</v>
      </c>
    </row>
    <row r="81" spans="1:8" x14ac:dyDescent="0.3">
      <c r="A81" t="s">
        <v>664</v>
      </c>
      <c r="B81" t="s">
        <v>1</v>
      </c>
      <c r="C81">
        <v>4</v>
      </c>
      <c r="D81">
        <v>83</v>
      </c>
      <c r="E81">
        <v>502</v>
      </c>
      <c r="F81">
        <v>58.2</v>
      </c>
      <c r="G81" t="s">
        <v>0</v>
      </c>
      <c r="H81">
        <f t="shared" si="1"/>
        <v>0.16533864541832669</v>
      </c>
    </row>
    <row r="82" spans="1:8" x14ac:dyDescent="0.3">
      <c r="A82" t="s">
        <v>624</v>
      </c>
      <c r="B82" t="s">
        <v>1</v>
      </c>
      <c r="C82">
        <v>4</v>
      </c>
      <c r="D82">
        <v>84</v>
      </c>
      <c r="E82">
        <v>503</v>
      </c>
      <c r="F82">
        <v>39</v>
      </c>
      <c r="G82" t="s">
        <v>0</v>
      </c>
      <c r="H82">
        <f t="shared" si="1"/>
        <v>0.16699801192842942</v>
      </c>
    </row>
    <row r="83" spans="1:8" x14ac:dyDescent="0.3">
      <c r="A83" t="s">
        <v>700</v>
      </c>
      <c r="B83" t="s">
        <v>1</v>
      </c>
      <c r="C83">
        <v>4</v>
      </c>
      <c r="D83">
        <v>86</v>
      </c>
      <c r="E83">
        <v>500</v>
      </c>
      <c r="F83">
        <v>39.200000000000003</v>
      </c>
      <c r="G83" t="s">
        <v>0</v>
      </c>
      <c r="H83">
        <f t="shared" si="1"/>
        <v>0.17199999999999999</v>
      </c>
    </row>
    <row r="84" spans="1:8" x14ac:dyDescent="0.3">
      <c r="A84" t="s">
        <v>660</v>
      </c>
      <c r="B84" t="s">
        <v>1</v>
      </c>
      <c r="C84">
        <v>4</v>
      </c>
      <c r="D84">
        <v>88</v>
      </c>
      <c r="E84">
        <v>503</v>
      </c>
      <c r="F84">
        <v>54.3</v>
      </c>
      <c r="G84" t="s">
        <v>0</v>
      </c>
      <c r="H84">
        <f t="shared" si="1"/>
        <v>0.1749502982107356</v>
      </c>
    </row>
    <row r="85" spans="1:8" x14ac:dyDescent="0.3">
      <c r="A85" t="s">
        <v>620</v>
      </c>
      <c r="B85" t="s">
        <v>1</v>
      </c>
      <c r="C85">
        <v>4</v>
      </c>
      <c r="D85">
        <v>84</v>
      </c>
      <c r="E85">
        <v>502</v>
      </c>
      <c r="F85">
        <v>36.700000000000003</v>
      </c>
      <c r="G85" t="s">
        <v>0</v>
      </c>
      <c r="H85">
        <f t="shared" si="1"/>
        <v>0.16733067729083664</v>
      </c>
    </row>
    <row r="86" spans="1:8" x14ac:dyDescent="0.3">
      <c r="A86" t="s">
        <v>696</v>
      </c>
      <c r="B86" t="s">
        <v>1</v>
      </c>
      <c r="C86">
        <v>4</v>
      </c>
      <c r="D86">
        <v>86</v>
      </c>
      <c r="E86">
        <v>502</v>
      </c>
      <c r="F86">
        <v>59.2</v>
      </c>
      <c r="G86" t="s">
        <v>0</v>
      </c>
      <c r="H86">
        <f t="shared" si="1"/>
        <v>0.17131474103585656</v>
      </c>
    </row>
    <row r="87" spans="1:8" x14ac:dyDescent="0.3">
      <c r="A87" t="s">
        <v>656</v>
      </c>
      <c r="B87" t="s">
        <v>1</v>
      </c>
      <c r="C87">
        <v>4</v>
      </c>
      <c r="D87">
        <v>88</v>
      </c>
      <c r="E87">
        <v>503</v>
      </c>
      <c r="F87">
        <v>56.3</v>
      </c>
      <c r="G87" t="s">
        <v>0</v>
      </c>
      <c r="H87">
        <f t="shared" si="1"/>
        <v>0.1749502982107356</v>
      </c>
    </row>
    <row r="88" spans="1:8" x14ac:dyDescent="0.3">
      <c r="A88" t="s">
        <v>616</v>
      </c>
      <c r="B88" t="s">
        <v>1</v>
      </c>
      <c r="C88">
        <v>4</v>
      </c>
      <c r="D88">
        <v>89</v>
      </c>
      <c r="E88">
        <v>505</v>
      </c>
      <c r="F88">
        <v>61.2</v>
      </c>
      <c r="G88" t="s">
        <v>0</v>
      </c>
      <c r="H88">
        <f t="shared" si="1"/>
        <v>0.17623762376237623</v>
      </c>
    </row>
    <row r="89" spans="1:8" x14ac:dyDescent="0.3">
      <c r="A89" t="s">
        <v>692</v>
      </c>
      <c r="B89" t="s">
        <v>1</v>
      </c>
      <c r="C89">
        <v>4</v>
      </c>
      <c r="D89">
        <v>87</v>
      </c>
      <c r="E89">
        <v>501</v>
      </c>
      <c r="F89">
        <v>45.9</v>
      </c>
      <c r="G89" t="s">
        <v>0</v>
      </c>
      <c r="H89">
        <f t="shared" si="1"/>
        <v>0.17365269461077845</v>
      </c>
    </row>
    <row r="90" spans="1:8" x14ac:dyDescent="0.3">
      <c r="A90" t="s">
        <v>652</v>
      </c>
      <c r="B90" t="s">
        <v>1</v>
      </c>
      <c r="C90">
        <v>4</v>
      </c>
      <c r="D90">
        <v>86</v>
      </c>
      <c r="E90">
        <v>500</v>
      </c>
      <c r="F90">
        <v>38.799999999999997</v>
      </c>
      <c r="G90" t="s">
        <v>0</v>
      </c>
      <c r="H90">
        <f t="shared" si="1"/>
        <v>0.17199999999999999</v>
      </c>
    </row>
    <row r="91" spans="1:8" x14ac:dyDescent="0.3">
      <c r="A91" t="s">
        <v>612</v>
      </c>
      <c r="B91" t="s">
        <v>1</v>
      </c>
      <c r="C91">
        <v>4</v>
      </c>
      <c r="D91">
        <v>81</v>
      </c>
      <c r="E91">
        <v>503</v>
      </c>
      <c r="F91">
        <v>49.7</v>
      </c>
      <c r="G91" t="s">
        <v>0</v>
      </c>
      <c r="H91">
        <f t="shared" si="1"/>
        <v>0.1610337972166998</v>
      </c>
    </row>
    <row r="92" spans="1:8" x14ac:dyDescent="0.3">
      <c r="A92" t="s">
        <v>723</v>
      </c>
      <c r="B92" t="s">
        <v>1</v>
      </c>
      <c r="C92">
        <v>5</v>
      </c>
      <c r="D92">
        <v>104</v>
      </c>
      <c r="E92">
        <v>501</v>
      </c>
      <c r="F92">
        <v>36.700000000000003</v>
      </c>
      <c r="G92" t="s">
        <v>0</v>
      </c>
      <c r="H92">
        <f t="shared" si="1"/>
        <v>0.20758483033932135</v>
      </c>
    </row>
    <row r="93" spans="1:8" x14ac:dyDescent="0.3">
      <c r="A93" t="s">
        <v>683</v>
      </c>
      <c r="B93" t="s">
        <v>1</v>
      </c>
      <c r="C93">
        <v>5</v>
      </c>
      <c r="D93">
        <v>101</v>
      </c>
      <c r="E93">
        <v>505</v>
      </c>
      <c r="F93">
        <v>43</v>
      </c>
      <c r="G93" t="s">
        <v>0</v>
      </c>
      <c r="H93">
        <f t="shared" si="1"/>
        <v>0.2</v>
      </c>
    </row>
    <row r="94" spans="1:8" x14ac:dyDescent="0.3">
      <c r="A94" t="s">
        <v>643</v>
      </c>
      <c r="B94" t="s">
        <v>1</v>
      </c>
      <c r="C94">
        <v>5</v>
      </c>
      <c r="D94">
        <v>99</v>
      </c>
      <c r="E94">
        <v>500</v>
      </c>
      <c r="F94">
        <v>39.6</v>
      </c>
      <c r="G94" t="s">
        <v>0</v>
      </c>
      <c r="H94">
        <f t="shared" si="1"/>
        <v>0.19800000000000001</v>
      </c>
    </row>
    <row r="95" spans="1:8" x14ac:dyDescent="0.3">
      <c r="A95" t="s">
        <v>727</v>
      </c>
      <c r="B95" t="s">
        <v>1</v>
      </c>
      <c r="C95">
        <v>5</v>
      </c>
      <c r="D95">
        <v>99</v>
      </c>
      <c r="E95">
        <v>504</v>
      </c>
      <c r="F95">
        <v>43.5</v>
      </c>
      <c r="G95" t="s">
        <v>0</v>
      </c>
      <c r="H95">
        <f t="shared" si="1"/>
        <v>0.19642857142857142</v>
      </c>
    </row>
    <row r="96" spans="1:8" x14ac:dyDescent="0.3">
      <c r="A96" t="s">
        <v>687</v>
      </c>
      <c r="B96" t="s">
        <v>1</v>
      </c>
      <c r="C96">
        <v>5</v>
      </c>
      <c r="D96">
        <v>97</v>
      </c>
      <c r="E96">
        <v>500</v>
      </c>
      <c r="F96">
        <v>55</v>
      </c>
      <c r="G96" t="s">
        <v>0</v>
      </c>
      <c r="H96">
        <f t="shared" si="1"/>
        <v>0.19400000000000001</v>
      </c>
    </row>
    <row r="97" spans="1:8" x14ac:dyDescent="0.3">
      <c r="A97" t="s">
        <v>647</v>
      </c>
      <c r="B97" t="s">
        <v>1</v>
      </c>
      <c r="C97">
        <v>5</v>
      </c>
      <c r="D97">
        <v>108</v>
      </c>
      <c r="E97">
        <v>500</v>
      </c>
      <c r="F97">
        <v>44.6</v>
      </c>
      <c r="G97" t="s">
        <v>0</v>
      </c>
      <c r="H97">
        <f t="shared" si="1"/>
        <v>0.216</v>
      </c>
    </row>
    <row r="98" spans="1:8" x14ac:dyDescent="0.3">
      <c r="A98" t="s">
        <v>719</v>
      </c>
      <c r="B98" t="s">
        <v>1</v>
      </c>
      <c r="C98">
        <v>5</v>
      </c>
      <c r="D98">
        <v>101</v>
      </c>
      <c r="E98">
        <v>501</v>
      </c>
      <c r="F98">
        <v>51.7</v>
      </c>
      <c r="G98" t="s">
        <v>0</v>
      </c>
      <c r="H98">
        <f t="shared" si="1"/>
        <v>0.20159680638722555</v>
      </c>
    </row>
    <row r="99" spans="1:8" x14ac:dyDescent="0.3">
      <c r="A99" t="s">
        <v>679</v>
      </c>
      <c r="B99" t="s">
        <v>1</v>
      </c>
      <c r="C99">
        <v>5</v>
      </c>
      <c r="D99">
        <v>105</v>
      </c>
      <c r="E99">
        <v>506</v>
      </c>
      <c r="F99">
        <v>42.5</v>
      </c>
      <c r="G99" t="s">
        <v>0</v>
      </c>
      <c r="H99">
        <f t="shared" si="1"/>
        <v>0.2075098814229249</v>
      </c>
    </row>
    <row r="100" spans="1:8" x14ac:dyDescent="0.3">
      <c r="A100" t="s">
        <v>639</v>
      </c>
      <c r="B100" t="s">
        <v>1</v>
      </c>
      <c r="C100">
        <v>5</v>
      </c>
      <c r="D100">
        <v>97</v>
      </c>
      <c r="E100">
        <v>501</v>
      </c>
      <c r="F100">
        <v>50.3</v>
      </c>
      <c r="G100" t="s">
        <v>0</v>
      </c>
      <c r="H100">
        <f t="shared" si="1"/>
        <v>0.19361277445109781</v>
      </c>
    </row>
    <row r="101" spans="1:8" x14ac:dyDescent="0.3">
      <c r="A101" t="s">
        <v>715</v>
      </c>
      <c r="B101" t="s">
        <v>1</v>
      </c>
      <c r="C101">
        <v>5</v>
      </c>
      <c r="D101">
        <v>100</v>
      </c>
      <c r="E101">
        <v>502</v>
      </c>
      <c r="F101">
        <v>40.4</v>
      </c>
      <c r="G101" t="s">
        <v>0</v>
      </c>
      <c r="H101">
        <f t="shared" si="1"/>
        <v>0.19920318725099601</v>
      </c>
    </row>
    <row r="102" spans="1:8" x14ac:dyDescent="0.3">
      <c r="A102" t="s">
        <v>675</v>
      </c>
      <c r="B102" t="s">
        <v>1</v>
      </c>
      <c r="C102">
        <v>5</v>
      </c>
      <c r="D102">
        <v>99</v>
      </c>
      <c r="E102">
        <v>507</v>
      </c>
      <c r="F102">
        <v>62.9</v>
      </c>
      <c r="G102" t="s">
        <v>0</v>
      </c>
      <c r="H102">
        <f t="shared" si="1"/>
        <v>0.19526627218934911</v>
      </c>
    </row>
    <row r="103" spans="1:8" x14ac:dyDescent="0.3">
      <c r="A103" t="s">
        <v>635</v>
      </c>
      <c r="B103" t="s">
        <v>1</v>
      </c>
      <c r="C103">
        <v>5</v>
      </c>
      <c r="D103">
        <v>97</v>
      </c>
      <c r="E103">
        <v>504</v>
      </c>
      <c r="F103">
        <v>39.5</v>
      </c>
      <c r="G103" t="s">
        <v>0</v>
      </c>
      <c r="H103">
        <f t="shared" si="1"/>
        <v>0.19246031746031747</v>
      </c>
    </row>
    <row r="104" spans="1:8" x14ac:dyDescent="0.3">
      <c r="A104" t="s">
        <v>711</v>
      </c>
      <c r="B104" t="s">
        <v>1</v>
      </c>
      <c r="C104">
        <v>5</v>
      </c>
      <c r="D104">
        <v>100</v>
      </c>
      <c r="E104">
        <v>501</v>
      </c>
      <c r="F104">
        <v>48.9</v>
      </c>
      <c r="G104" t="s">
        <v>0</v>
      </c>
      <c r="H104">
        <f t="shared" si="1"/>
        <v>0.19960079840319361</v>
      </c>
    </row>
    <row r="105" spans="1:8" x14ac:dyDescent="0.3">
      <c r="A105" t="s">
        <v>671</v>
      </c>
      <c r="B105" t="s">
        <v>1</v>
      </c>
      <c r="C105">
        <v>5</v>
      </c>
      <c r="D105">
        <v>104</v>
      </c>
      <c r="E105">
        <v>501</v>
      </c>
      <c r="F105">
        <v>42.1</v>
      </c>
      <c r="G105" t="s">
        <v>0</v>
      </c>
      <c r="H105">
        <f t="shared" si="1"/>
        <v>0.20758483033932135</v>
      </c>
    </row>
    <row r="106" spans="1:8" x14ac:dyDescent="0.3">
      <c r="A106" t="s">
        <v>631</v>
      </c>
      <c r="B106" t="s">
        <v>1</v>
      </c>
      <c r="C106">
        <v>5</v>
      </c>
      <c r="D106">
        <v>102</v>
      </c>
      <c r="E106">
        <v>504</v>
      </c>
      <c r="F106">
        <v>44</v>
      </c>
      <c r="G106" t="s">
        <v>0</v>
      </c>
      <c r="H106">
        <f t="shared" si="1"/>
        <v>0.20238095238095238</v>
      </c>
    </row>
    <row r="107" spans="1:8" x14ac:dyDescent="0.3">
      <c r="A107" t="s">
        <v>707</v>
      </c>
      <c r="B107" t="s">
        <v>1</v>
      </c>
      <c r="C107">
        <v>5</v>
      </c>
      <c r="D107">
        <v>98</v>
      </c>
      <c r="E107">
        <v>500</v>
      </c>
      <c r="F107">
        <v>32</v>
      </c>
      <c r="G107" t="s">
        <v>0</v>
      </c>
      <c r="H107">
        <f t="shared" si="1"/>
        <v>0.19600000000000001</v>
      </c>
    </row>
    <row r="108" spans="1:8" x14ac:dyDescent="0.3">
      <c r="A108" t="s">
        <v>667</v>
      </c>
      <c r="B108" t="s">
        <v>1</v>
      </c>
      <c r="C108">
        <v>5</v>
      </c>
      <c r="D108">
        <v>96</v>
      </c>
      <c r="E108">
        <v>500</v>
      </c>
      <c r="F108">
        <v>65</v>
      </c>
      <c r="G108" t="s">
        <v>0</v>
      </c>
      <c r="H108">
        <f t="shared" si="1"/>
        <v>0.192</v>
      </c>
    </row>
    <row r="109" spans="1:8" x14ac:dyDescent="0.3">
      <c r="A109" t="s">
        <v>627</v>
      </c>
      <c r="B109" t="s">
        <v>1</v>
      </c>
      <c r="C109">
        <v>5</v>
      </c>
      <c r="D109">
        <v>102</v>
      </c>
      <c r="E109">
        <v>501</v>
      </c>
      <c r="F109">
        <v>39.299999999999997</v>
      </c>
      <c r="G109" t="s">
        <v>0</v>
      </c>
      <c r="H109">
        <f t="shared" si="1"/>
        <v>0.20359281437125748</v>
      </c>
    </row>
    <row r="110" spans="1:8" x14ac:dyDescent="0.3">
      <c r="A110" t="s">
        <v>703</v>
      </c>
      <c r="B110" t="s">
        <v>1</v>
      </c>
      <c r="C110">
        <v>5</v>
      </c>
      <c r="D110">
        <v>100</v>
      </c>
      <c r="E110">
        <v>503</v>
      </c>
      <c r="F110">
        <v>34</v>
      </c>
      <c r="G110" t="s">
        <v>0</v>
      </c>
      <c r="H110">
        <f t="shared" si="1"/>
        <v>0.19880715705765409</v>
      </c>
    </row>
    <row r="111" spans="1:8" x14ac:dyDescent="0.3">
      <c r="A111" t="s">
        <v>663</v>
      </c>
      <c r="B111" t="s">
        <v>1</v>
      </c>
      <c r="C111">
        <v>5</v>
      </c>
      <c r="D111">
        <v>101</v>
      </c>
      <c r="E111">
        <v>502</v>
      </c>
      <c r="F111">
        <v>36.1</v>
      </c>
      <c r="G111" t="s">
        <v>0</v>
      </c>
      <c r="H111">
        <f t="shared" si="1"/>
        <v>0.20119521912350596</v>
      </c>
    </row>
    <row r="112" spans="1:8" x14ac:dyDescent="0.3">
      <c r="A112" t="s">
        <v>623</v>
      </c>
      <c r="B112" t="s">
        <v>1</v>
      </c>
      <c r="C112">
        <v>5</v>
      </c>
      <c r="D112">
        <v>103</v>
      </c>
      <c r="E112">
        <v>503</v>
      </c>
      <c r="F112">
        <v>38.6</v>
      </c>
      <c r="G112" t="s">
        <v>0</v>
      </c>
      <c r="H112">
        <f t="shared" si="1"/>
        <v>0.2047713717693837</v>
      </c>
    </row>
    <row r="113" spans="1:8" x14ac:dyDescent="0.3">
      <c r="A113" t="s">
        <v>699</v>
      </c>
      <c r="B113" t="s">
        <v>1</v>
      </c>
      <c r="C113">
        <v>5</v>
      </c>
      <c r="D113">
        <v>101</v>
      </c>
      <c r="E113">
        <v>500</v>
      </c>
      <c r="F113">
        <v>34.6</v>
      </c>
      <c r="G113" t="s">
        <v>0</v>
      </c>
      <c r="H113">
        <f t="shared" si="1"/>
        <v>0.20200000000000001</v>
      </c>
    </row>
    <row r="114" spans="1:8" x14ac:dyDescent="0.3">
      <c r="A114" t="s">
        <v>659</v>
      </c>
      <c r="B114" t="s">
        <v>1</v>
      </c>
      <c r="C114">
        <v>5</v>
      </c>
      <c r="D114">
        <v>100</v>
      </c>
      <c r="E114">
        <v>503</v>
      </c>
      <c r="F114">
        <v>41</v>
      </c>
      <c r="G114" t="s">
        <v>0</v>
      </c>
      <c r="H114">
        <f t="shared" si="1"/>
        <v>0.19880715705765409</v>
      </c>
    </row>
    <row r="115" spans="1:8" x14ac:dyDescent="0.3">
      <c r="A115" t="s">
        <v>619</v>
      </c>
      <c r="B115" t="s">
        <v>1</v>
      </c>
      <c r="C115">
        <v>5</v>
      </c>
      <c r="D115">
        <v>104</v>
      </c>
      <c r="E115">
        <v>502</v>
      </c>
      <c r="F115">
        <v>41.6</v>
      </c>
      <c r="G115" t="s">
        <v>0</v>
      </c>
      <c r="H115">
        <f t="shared" si="1"/>
        <v>0.20717131474103587</v>
      </c>
    </row>
    <row r="116" spans="1:8" x14ac:dyDescent="0.3">
      <c r="A116" t="s">
        <v>695</v>
      </c>
      <c r="B116" t="s">
        <v>1</v>
      </c>
      <c r="C116">
        <v>5</v>
      </c>
      <c r="D116">
        <v>107</v>
      </c>
      <c r="E116">
        <v>502</v>
      </c>
      <c r="F116">
        <v>53.2</v>
      </c>
      <c r="G116" t="s">
        <v>0</v>
      </c>
      <c r="H116">
        <f t="shared" si="1"/>
        <v>0.21314741035856574</v>
      </c>
    </row>
    <row r="117" spans="1:8" x14ac:dyDescent="0.3">
      <c r="A117" t="s">
        <v>655</v>
      </c>
      <c r="B117" t="s">
        <v>1</v>
      </c>
      <c r="C117">
        <v>5</v>
      </c>
      <c r="D117">
        <v>104</v>
      </c>
      <c r="E117">
        <v>503</v>
      </c>
      <c r="F117">
        <v>29.6</v>
      </c>
      <c r="G117" t="s">
        <v>0</v>
      </c>
      <c r="H117">
        <f t="shared" si="1"/>
        <v>0.20675944333996024</v>
      </c>
    </row>
    <row r="118" spans="1:8" x14ac:dyDescent="0.3">
      <c r="A118" t="s">
        <v>615</v>
      </c>
      <c r="B118" t="s">
        <v>1</v>
      </c>
      <c r="C118">
        <v>5</v>
      </c>
      <c r="D118">
        <v>106</v>
      </c>
      <c r="E118">
        <v>505</v>
      </c>
      <c r="F118">
        <v>39.6</v>
      </c>
      <c r="G118" t="s">
        <v>0</v>
      </c>
      <c r="H118">
        <f t="shared" si="1"/>
        <v>0.20990099009900989</v>
      </c>
    </row>
    <row r="119" spans="1:8" x14ac:dyDescent="0.3">
      <c r="A119" t="s">
        <v>691</v>
      </c>
      <c r="B119" t="s">
        <v>1</v>
      </c>
      <c r="C119">
        <v>5</v>
      </c>
      <c r="D119">
        <v>104</v>
      </c>
      <c r="E119">
        <v>501</v>
      </c>
      <c r="F119">
        <v>35.299999999999997</v>
      </c>
      <c r="G119" t="s">
        <v>0</v>
      </c>
      <c r="H119">
        <f t="shared" si="1"/>
        <v>0.20758483033932135</v>
      </c>
    </row>
    <row r="120" spans="1:8" x14ac:dyDescent="0.3">
      <c r="A120" t="s">
        <v>651</v>
      </c>
      <c r="B120" t="s">
        <v>1</v>
      </c>
      <c r="C120">
        <v>5</v>
      </c>
      <c r="D120">
        <v>102</v>
      </c>
      <c r="E120">
        <v>500</v>
      </c>
      <c r="F120">
        <v>42.2</v>
      </c>
      <c r="G120" t="s">
        <v>0</v>
      </c>
      <c r="H120">
        <f t="shared" si="1"/>
        <v>0.20399999999999999</v>
      </c>
    </row>
    <row r="121" spans="1:8" x14ac:dyDescent="0.3">
      <c r="A121" t="s">
        <v>611</v>
      </c>
      <c r="B121" t="s">
        <v>1</v>
      </c>
      <c r="C121">
        <v>5</v>
      </c>
      <c r="D121">
        <v>99</v>
      </c>
      <c r="E121">
        <v>503</v>
      </c>
      <c r="F121">
        <v>36</v>
      </c>
      <c r="G121" t="s">
        <v>0</v>
      </c>
      <c r="H121">
        <f t="shared" si="1"/>
        <v>0.19681908548707752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1AC7-B877-454F-B72D-29577CA20196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129</v>
      </c>
      <c r="B1" t="s">
        <v>128</v>
      </c>
      <c r="C1" t="s">
        <v>127</v>
      </c>
      <c r="D1" t="s">
        <v>126</v>
      </c>
      <c r="E1" t="s">
        <v>125</v>
      </c>
      <c r="F1" t="s">
        <v>124</v>
      </c>
      <c r="G1" t="s">
        <v>123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486</v>
      </c>
      <c r="B2" t="s">
        <v>130</v>
      </c>
      <c r="C2">
        <v>0.3</v>
      </c>
      <c r="D2">
        <v>43</v>
      </c>
      <c r="E2">
        <v>501</v>
      </c>
      <c r="F2">
        <v>56.7</v>
      </c>
      <c r="G2" t="s">
        <v>0</v>
      </c>
      <c r="H2">
        <f>D2/E2</f>
        <v>8.5828343313373259E-2</v>
      </c>
      <c r="J2" t="s">
        <v>1245</v>
      </c>
      <c r="K2">
        <f>AVERAGE(F2:F31)</f>
        <v>79.989999999999995</v>
      </c>
      <c r="L2">
        <f>MIN(F2:F31)</f>
        <v>44.7</v>
      </c>
      <c r="M2">
        <f>MAX(F2:F31)</f>
        <v>100</v>
      </c>
      <c r="N2">
        <f>AVERAGE(H2:H31)</f>
        <v>8.2375048984060714E-2</v>
      </c>
    </row>
    <row r="3" spans="1:14" x14ac:dyDescent="0.3">
      <c r="A3" t="s">
        <v>446</v>
      </c>
      <c r="B3" t="s">
        <v>130</v>
      </c>
      <c r="C3">
        <v>0.3</v>
      </c>
      <c r="D3">
        <v>42</v>
      </c>
      <c r="E3">
        <v>505</v>
      </c>
      <c r="F3">
        <v>73.3</v>
      </c>
      <c r="G3" t="s">
        <v>0</v>
      </c>
      <c r="H3">
        <f t="shared" ref="H3:H66" si="0">D3/E3</f>
        <v>8.3168316831683173E-2</v>
      </c>
      <c r="J3" t="s">
        <v>1246</v>
      </c>
      <c r="K3">
        <f>AVERAGE(F32:F61)</f>
        <v>56.850000000000009</v>
      </c>
      <c r="L3">
        <f>MIN(F32:F61)</f>
        <v>16</v>
      </c>
      <c r="M3">
        <f>MAX(F32:F61)</f>
        <v>92.7</v>
      </c>
      <c r="N3">
        <f>AVERAGE(H32:H61)</f>
        <v>0.14397510469313921</v>
      </c>
    </row>
    <row r="4" spans="1:14" x14ac:dyDescent="0.3">
      <c r="A4" t="s">
        <v>406</v>
      </c>
      <c r="B4" t="s">
        <v>130</v>
      </c>
      <c r="C4">
        <v>0.3</v>
      </c>
      <c r="D4">
        <v>40</v>
      </c>
      <c r="E4">
        <v>500</v>
      </c>
      <c r="F4">
        <v>57.6</v>
      </c>
      <c r="G4" t="s">
        <v>0</v>
      </c>
      <c r="H4">
        <f t="shared" si="0"/>
        <v>0.08</v>
      </c>
      <c r="J4" t="s">
        <v>1247</v>
      </c>
      <c r="K4">
        <f>AVERAGE(F62:F91)</f>
        <v>29.803333333333335</v>
      </c>
      <c r="L4">
        <f>MIN(F62:F91)</f>
        <v>5.6</v>
      </c>
      <c r="M4">
        <f>MAX(F62:F91)</f>
        <v>48.7</v>
      </c>
      <c r="N4">
        <f>AVERAGE(H62:H91)</f>
        <v>0.20199130444232852</v>
      </c>
    </row>
    <row r="5" spans="1:14" x14ac:dyDescent="0.3">
      <c r="A5" t="s">
        <v>490</v>
      </c>
      <c r="B5" t="s">
        <v>130</v>
      </c>
      <c r="C5">
        <v>0.3</v>
      </c>
      <c r="D5">
        <v>41</v>
      </c>
      <c r="E5">
        <v>504</v>
      </c>
      <c r="F5">
        <v>91.1</v>
      </c>
      <c r="G5" t="s">
        <v>9</v>
      </c>
      <c r="H5">
        <f t="shared" si="0"/>
        <v>8.1349206349206352E-2</v>
      </c>
      <c r="J5" t="s">
        <v>1248</v>
      </c>
      <c r="K5">
        <f>AVERAGE(F92:F121)</f>
        <v>21.47333333333334</v>
      </c>
      <c r="L5">
        <f>MIN(F92:F121)</f>
        <v>2.6</v>
      </c>
      <c r="M5">
        <f>MAX(F92:F121)</f>
        <v>44.4</v>
      </c>
      <c r="N5">
        <f>AVERAGE(H92:H121)</f>
        <v>0.25774838867671312</v>
      </c>
    </row>
    <row r="6" spans="1:14" x14ac:dyDescent="0.3">
      <c r="A6" t="s">
        <v>450</v>
      </c>
      <c r="B6" t="s">
        <v>130</v>
      </c>
      <c r="C6">
        <v>0.3</v>
      </c>
      <c r="D6">
        <v>42</v>
      </c>
      <c r="E6">
        <v>500</v>
      </c>
      <c r="F6">
        <v>95.2</v>
      </c>
      <c r="G6" t="s">
        <v>9</v>
      </c>
      <c r="H6">
        <f t="shared" si="0"/>
        <v>8.4000000000000005E-2</v>
      </c>
    </row>
    <row r="7" spans="1:14" x14ac:dyDescent="0.3">
      <c r="A7" t="s">
        <v>410</v>
      </c>
      <c r="B7" t="s">
        <v>130</v>
      </c>
      <c r="C7">
        <v>0.3</v>
      </c>
      <c r="D7">
        <v>42</v>
      </c>
      <c r="E7">
        <v>500</v>
      </c>
      <c r="F7">
        <v>54.8</v>
      </c>
      <c r="G7" t="s">
        <v>0</v>
      </c>
      <c r="H7">
        <f t="shared" si="0"/>
        <v>8.4000000000000005E-2</v>
      </c>
    </row>
    <row r="8" spans="1:14" x14ac:dyDescent="0.3">
      <c r="A8" t="s">
        <v>482</v>
      </c>
      <c r="B8" t="s">
        <v>130</v>
      </c>
      <c r="C8">
        <v>0.3</v>
      </c>
      <c r="D8">
        <v>41</v>
      </c>
      <c r="E8">
        <v>501</v>
      </c>
      <c r="F8">
        <v>85.4</v>
      </c>
      <c r="G8" t="s">
        <v>9</v>
      </c>
      <c r="H8">
        <f t="shared" si="0"/>
        <v>8.1836327345309379E-2</v>
      </c>
    </row>
    <row r="9" spans="1:14" x14ac:dyDescent="0.3">
      <c r="A9" t="s">
        <v>442</v>
      </c>
      <c r="B9" t="s">
        <v>130</v>
      </c>
      <c r="C9">
        <v>0.3</v>
      </c>
      <c r="D9">
        <v>42</v>
      </c>
      <c r="E9">
        <v>506</v>
      </c>
      <c r="F9">
        <v>74.7</v>
      </c>
      <c r="G9" t="s">
        <v>0</v>
      </c>
      <c r="H9">
        <f t="shared" si="0"/>
        <v>8.3003952569169967E-2</v>
      </c>
    </row>
    <row r="10" spans="1:14" x14ac:dyDescent="0.3">
      <c r="A10" t="s">
        <v>402</v>
      </c>
      <c r="B10" t="s">
        <v>130</v>
      </c>
      <c r="C10">
        <v>0.3</v>
      </c>
      <c r="D10">
        <v>40</v>
      </c>
      <c r="E10">
        <v>501</v>
      </c>
      <c r="F10">
        <v>100</v>
      </c>
      <c r="G10" t="s">
        <v>9</v>
      </c>
      <c r="H10">
        <f t="shared" si="0"/>
        <v>7.9840319361277445E-2</v>
      </c>
    </row>
    <row r="11" spans="1:14" x14ac:dyDescent="0.3">
      <c r="A11" t="s">
        <v>478</v>
      </c>
      <c r="B11" t="s">
        <v>130</v>
      </c>
      <c r="C11">
        <v>0.3</v>
      </c>
      <c r="D11">
        <v>40</v>
      </c>
      <c r="E11">
        <v>502</v>
      </c>
      <c r="F11">
        <v>90.2</v>
      </c>
      <c r="G11" t="s">
        <v>9</v>
      </c>
      <c r="H11">
        <f t="shared" si="0"/>
        <v>7.9681274900398405E-2</v>
      </c>
    </row>
    <row r="12" spans="1:14" x14ac:dyDescent="0.3">
      <c r="A12" t="s">
        <v>438</v>
      </c>
      <c r="B12" t="s">
        <v>130</v>
      </c>
      <c r="C12">
        <v>0.3</v>
      </c>
      <c r="D12">
        <v>44</v>
      </c>
      <c r="E12">
        <v>507</v>
      </c>
      <c r="F12">
        <v>98.6</v>
      </c>
      <c r="G12" t="s">
        <v>9</v>
      </c>
      <c r="H12">
        <f t="shared" si="0"/>
        <v>8.6785009861932938E-2</v>
      </c>
    </row>
    <row r="13" spans="1:14" x14ac:dyDescent="0.3">
      <c r="A13" t="s">
        <v>398</v>
      </c>
      <c r="B13" t="s">
        <v>130</v>
      </c>
      <c r="C13">
        <v>0.3</v>
      </c>
      <c r="D13">
        <v>41</v>
      </c>
      <c r="E13">
        <v>504</v>
      </c>
      <c r="F13">
        <v>67.7</v>
      </c>
      <c r="G13" t="s">
        <v>0</v>
      </c>
      <c r="H13">
        <f t="shared" si="0"/>
        <v>8.1349206349206352E-2</v>
      </c>
    </row>
    <row r="14" spans="1:14" x14ac:dyDescent="0.3">
      <c r="A14" t="s">
        <v>474</v>
      </c>
      <c r="B14" t="s">
        <v>130</v>
      </c>
      <c r="C14">
        <v>0.3</v>
      </c>
      <c r="D14">
        <v>41</v>
      </c>
      <c r="E14">
        <v>501</v>
      </c>
      <c r="F14">
        <v>91</v>
      </c>
      <c r="G14" t="s">
        <v>9</v>
      </c>
      <c r="H14">
        <f t="shared" si="0"/>
        <v>8.1836327345309379E-2</v>
      </c>
    </row>
    <row r="15" spans="1:14" x14ac:dyDescent="0.3">
      <c r="A15" t="s">
        <v>434</v>
      </c>
      <c r="B15" t="s">
        <v>130</v>
      </c>
      <c r="C15">
        <v>0.3</v>
      </c>
      <c r="D15">
        <v>42</v>
      </c>
      <c r="E15">
        <v>501</v>
      </c>
      <c r="F15">
        <v>99.6</v>
      </c>
      <c r="G15" t="s">
        <v>9</v>
      </c>
      <c r="H15">
        <f t="shared" si="0"/>
        <v>8.3832335329341312E-2</v>
      </c>
    </row>
    <row r="16" spans="1:14" x14ac:dyDescent="0.3">
      <c r="A16" t="s">
        <v>394</v>
      </c>
      <c r="B16" t="s">
        <v>130</v>
      </c>
      <c r="C16">
        <v>0.3</v>
      </c>
      <c r="D16">
        <v>40</v>
      </c>
      <c r="E16">
        <v>504</v>
      </c>
      <c r="F16">
        <v>53.2</v>
      </c>
      <c r="G16" t="s">
        <v>0</v>
      </c>
      <c r="H16">
        <f t="shared" si="0"/>
        <v>7.9365079365079361E-2</v>
      </c>
    </row>
    <row r="17" spans="1:8" x14ac:dyDescent="0.3">
      <c r="A17" t="s">
        <v>470</v>
      </c>
      <c r="B17" t="s">
        <v>130</v>
      </c>
      <c r="C17">
        <v>0.3</v>
      </c>
      <c r="D17">
        <v>40</v>
      </c>
      <c r="E17">
        <v>500</v>
      </c>
      <c r="F17">
        <v>97.4</v>
      </c>
      <c r="G17" t="s">
        <v>9</v>
      </c>
      <c r="H17">
        <f t="shared" si="0"/>
        <v>0.08</v>
      </c>
    </row>
    <row r="18" spans="1:8" x14ac:dyDescent="0.3">
      <c r="A18" t="s">
        <v>430</v>
      </c>
      <c r="B18" t="s">
        <v>130</v>
      </c>
      <c r="C18">
        <v>0.3</v>
      </c>
      <c r="D18">
        <v>40</v>
      </c>
      <c r="E18">
        <v>500</v>
      </c>
      <c r="F18">
        <v>95.8</v>
      </c>
      <c r="G18" t="s">
        <v>9</v>
      </c>
      <c r="H18">
        <f t="shared" si="0"/>
        <v>0.08</v>
      </c>
    </row>
    <row r="19" spans="1:8" x14ac:dyDescent="0.3">
      <c r="A19" t="s">
        <v>390</v>
      </c>
      <c r="B19" t="s">
        <v>130</v>
      </c>
      <c r="C19">
        <v>0.3</v>
      </c>
      <c r="D19">
        <v>43</v>
      </c>
      <c r="E19">
        <v>501</v>
      </c>
      <c r="F19">
        <v>91.8</v>
      </c>
      <c r="G19" t="s">
        <v>9</v>
      </c>
      <c r="H19">
        <f t="shared" si="0"/>
        <v>8.5828343313373259E-2</v>
      </c>
    </row>
    <row r="20" spans="1:8" x14ac:dyDescent="0.3">
      <c r="A20" t="s">
        <v>466</v>
      </c>
      <c r="B20" t="s">
        <v>130</v>
      </c>
      <c r="C20">
        <v>0.3</v>
      </c>
      <c r="D20">
        <v>43</v>
      </c>
      <c r="E20">
        <v>503</v>
      </c>
      <c r="F20">
        <v>44.7</v>
      </c>
      <c r="G20" t="s">
        <v>0</v>
      </c>
      <c r="H20">
        <f t="shared" si="0"/>
        <v>8.5487077534791248E-2</v>
      </c>
    </row>
    <row r="21" spans="1:8" x14ac:dyDescent="0.3">
      <c r="A21" t="s">
        <v>426</v>
      </c>
      <c r="B21" t="s">
        <v>130</v>
      </c>
      <c r="C21">
        <v>0.3</v>
      </c>
      <c r="D21">
        <v>40</v>
      </c>
      <c r="E21">
        <v>502</v>
      </c>
      <c r="F21">
        <v>100</v>
      </c>
      <c r="G21" t="s">
        <v>9</v>
      </c>
      <c r="H21">
        <f t="shared" si="0"/>
        <v>7.9681274900398405E-2</v>
      </c>
    </row>
    <row r="22" spans="1:8" x14ac:dyDescent="0.3">
      <c r="A22" t="s">
        <v>386</v>
      </c>
      <c r="B22" t="s">
        <v>130</v>
      </c>
      <c r="C22">
        <v>0.3</v>
      </c>
      <c r="D22">
        <v>43</v>
      </c>
      <c r="E22">
        <v>503</v>
      </c>
      <c r="F22">
        <v>77.099999999999994</v>
      </c>
      <c r="G22" t="s">
        <v>0</v>
      </c>
      <c r="H22">
        <f t="shared" si="0"/>
        <v>8.5487077534791248E-2</v>
      </c>
    </row>
    <row r="23" spans="1:8" x14ac:dyDescent="0.3">
      <c r="A23" t="s">
        <v>462</v>
      </c>
      <c r="B23" t="s">
        <v>130</v>
      </c>
      <c r="C23">
        <v>0.3</v>
      </c>
      <c r="D23">
        <v>41</v>
      </c>
      <c r="E23">
        <v>500</v>
      </c>
      <c r="F23">
        <v>49.8</v>
      </c>
      <c r="G23" t="s">
        <v>0</v>
      </c>
      <c r="H23">
        <f t="shared" si="0"/>
        <v>8.2000000000000003E-2</v>
      </c>
    </row>
    <row r="24" spans="1:8" x14ac:dyDescent="0.3">
      <c r="A24" t="s">
        <v>422</v>
      </c>
      <c r="B24" t="s">
        <v>130</v>
      </c>
      <c r="C24">
        <v>0.3</v>
      </c>
      <c r="D24">
        <v>41</v>
      </c>
      <c r="E24">
        <v>503</v>
      </c>
      <c r="F24">
        <v>72</v>
      </c>
      <c r="G24" t="s">
        <v>0</v>
      </c>
      <c r="H24">
        <f t="shared" si="0"/>
        <v>8.1510934393638171E-2</v>
      </c>
    </row>
    <row r="25" spans="1:8" x14ac:dyDescent="0.3">
      <c r="A25" t="s">
        <v>382</v>
      </c>
      <c r="B25" t="s">
        <v>130</v>
      </c>
      <c r="C25">
        <v>0.3</v>
      </c>
      <c r="D25">
        <v>40</v>
      </c>
      <c r="E25">
        <v>502</v>
      </c>
      <c r="F25">
        <v>97.4</v>
      </c>
      <c r="G25" t="s">
        <v>9</v>
      </c>
      <c r="H25">
        <f t="shared" si="0"/>
        <v>7.9681274900398405E-2</v>
      </c>
    </row>
    <row r="26" spans="1:8" x14ac:dyDescent="0.3">
      <c r="A26" t="s">
        <v>458</v>
      </c>
      <c r="B26" t="s">
        <v>130</v>
      </c>
      <c r="C26">
        <v>0.3</v>
      </c>
      <c r="D26">
        <v>42</v>
      </c>
      <c r="E26">
        <v>502</v>
      </c>
      <c r="F26">
        <v>95.6</v>
      </c>
      <c r="G26" t="s">
        <v>9</v>
      </c>
      <c r="H26">
        <f t="shared" si="0"/>
        <v>8.3665338645418322E-2</v>
      </c>
    </row>
    <row r="27" spans="1:8" x14ac:dyDescent="0.3">
      <c r="A27" t="s">
        <v>418</v>
      </c>
      <c r="B27" t="s">
        <v>130</v>
      </c>
      <c r="C27">
        <v>0.3</v>
      </c>
      <c r="D27">
        <v>41</v>
      </c>
      <c r="E27">
        <v>503</v>
      </c>
      <c r="F27">
        <v>96.2</v>
      </c>
      <c r="G27" t="s">
        <v>9</v>
      </c>
      <c r="H27">
        <f t="shared" si="0"/>
        <v>8.1510934393638171E-2</v>
      </c>
    </row>
    <row r="28" spans="1:8" x14ac:dyDescent="0.3">
      <c r="A28" t="s">
        <v>378</v>
      </c>
      <c r="B28" t="s">
        <v>130</v>
      </c>
      <c r="C28">
        <v>0.3</v>
      </c>
      <c r="D28">
        <v>42</v>
      </c>
      <c r="E28">
        <v>505</v>
      </c>
      <c r="F28">
        <v>66.099999999999994</v>
      </c>
      <c r="G28" t="s">
        <v>0</v>
      </c>
      <c r="H28">
        <f t="shared" si="0"/>
        <v>8.3168316831683173E-2</v>
      </c>
    </row>
    <row r="29" spans="1:8" x14ac:dyDescent="0.3">
      <c r="A29" t="s">
        <v>454</v>
      </c>
      <c r="B29" t="s">
        <v>130</v>
      </c>
      <c r="C29">
        <v>0.3</v>
      </c>
      <c r="D29">
        <v>42</v>
      </c>
      <c r="E29">
        <v>501</v>
      </c>
      <c r="F29">
        <v>97.2</v>
      </c>
      <c r="G29" t="s">
        <v>9</v>
      </c>
      <c r="H29">
        <f t="shared" si="0"/>
        <v>8.3832335329341312E-2</v>
      </c>
    </row>
    <row r="30" spans="1:8" x14ac:dyDescent="0.3">
      <c r="A30" t="s">
        <v>414</v>
      </c>
      <c r="B30" t="s">
        <v>130</v>
      </c>
      <c r="C30">
        <v>0.3</v>
      </c>
      <c r="D30">
        <v>42</v>
      </c>
      <c r="E30">
        <v>500</v>
      </c>
      <c r="F30">
        <v>75</v>
      </c>
      <c r="G30" t="s">
        <v>0</v>
      </c>
      <c r="H30">
        <f t="shared" si="0"/>
        <v>8.4000000000000005E-2</v>
      </c>
    </row>
    <row r="31" spans="1:8" x14ac:dyDescent="0.3">
      <c r="A31" t="s">
        <v>374</v>
      </c>
      <c r="B31" t="s">
        <v>130</v>
      </c>
      <c r="C31">
        <v>0.3</v>
      </c>
      <c r="D31">
        <v>40</v>
      </c>
      <c r="E31">
        <v>503</v>
      </c>
      <c r="F31">
        <v>54.5</v>
      </c>
      <c r="G31" t="s">
        <v>0</v>
      </c>
      <c r="H31">
        <f t="shared" si="0"/>
        <v>7.9522862823061632E-2</v>
      </c>
    </row>
    <row r="32" spans="1:8" x14ac:dyDescent="0.3">
      <c r="A32" t="s">
        <v>485</v>
      </c>
      <c r="B32" t="s">
        <v>130</v>
      </c>
      <c r="C32">
        <v>0.6</v>
      </c>
      <c r="D32">
        <v>74</v>
      </c>
      <c r="E32">
        <v>501</v>
      </c>
      <c r="F32">
        <v>45.1</v>
      </c>
      <c r="G32" t="s">
        <v>0</v>
      </c>
      <c r="H32">
        <f t="shared" si="0"/>
        <v>0.14770459081836326</v>
      </c>
    </row>
    <row r="33" spans="1:8" x14ac:dyDescent="0.3">
      <c r="A33" t="s">
        <v>445</v>
      </c>
      <c r="B33" t="s">
        <v>130</v>
      </c>
      <c r="C33">
        <v>0.6</v>
      </c>
      <c r="D33">
        <v>73</v>
      </c>
      <c r="E33">
        <v>505</v>
      </c>
      <c r="F33">
        <v>50.3</v>
      </c>
      <c r="G33" t="s">
        <v>0</v>
      </c>
      <c r="H33">
        <f t="shared" si="0"/>
        <v>0.14455445544554454</v>
      </c>
    </row>
    <row r="34" spans="1:8" x14ac:dyDescent="0.3">
      <c r="A34" t="s">
        <v>405</v>
      </c>
      <c r="B34" t="s">
        <v>130</v>
      </c>
      <c r="C34">
        <v>0.6</v>
      </c>
      <c r="D34">
        <v>70</v>
      </c>
      <c r="E34">
        <v>500</v>
      </c>
      <c r="F34">
        <v>38.200000000000003</v>
      </c>
      <c r="G34" t="s">
        <v>0</v>
      </c>
      <c r="H34">
        <f t="shared" si="0"/>
        <v>0.14000000000000001</v>
      </c>
    </row>
    <row r="35" spans="1:8" x14ac:dyDescent="0.3">
      <c r="A35" t="s">
        <v>489</v>
      </c>
      <c r="B35" t="s">
        <v>130</v>
      </c>
      <c r="C35">
        <v>0.6</v>
      </c>
      <c r="D35">
        <v>72</v>
      </c>
      <c r="E35">
        <v>504</v>
      </c>
      <c r="F35">
        <v>90.5</v>
      </c>
      <c r="G35" t="s">
        <v>9</v>
      </c>
      <c r="H35">
        <f t="shared" si="0"/>
        <v>0.14285714285714285</v>
      </c>
    </row>
    <row r="36" spans="1:8" x14ac:dyDescent="0.3">
      <c r="A36" t="s">
        <v>449</v>
      </c>
      <c r="B36" t="s">
        <v>130</v>
      </c>
      <c r="C36">
        <v>0.6</v>
      </c>
      <c r="D36">
        <v>73</v>
      </c>
      <c r="E36">
        <v>500</v>
      </c>
      <c r="F36">
        <v>63</v>
      </c>
      <c r="G36" t="s">
        <v>0</v>
      </c>
      <c r="H36">
        <f t="shared" si="0"/>
        <v>0.14599999999999999</v>
      </c>
    </row>
    <row r="37" spans="1:8" x14ac:dyDescent="0.3">
      <c r="A37" t="s">
        <v>409</v>
      </c>
      <c r="B37" t="s">
        <v>130</v>
      </c>
      <c r="C37">
        <v>0.6</v>
      </c>
      <c r="D37">
        <v>73</v>
      </c>
      <c r="E37">
        <v>500</v>
      </c>
      <c r="F37">
        <v>44</v>
      </c>
      <c r="G37" t="s">
        <v>0</v>
      </c>
      <c r="H37">
        <f t="shared" si="0"/>
        <v>0.14599999999999999</v>
      </c>
    </row>
    <row r="38" spans="1:8" x14ac:dyDescent="0.3">
      <c r="A38" t="s">
        <v>481</v>
      </c>
      <c r="B38" t="s">
        <v>130</v>
      </c>
      <c r="C38">
        <v>0.6</v>
      </c>
      <c r="D38">
        <v>72</v>
      </c>
      <c r="E38">
        <v>501</v>
      </c>
      <c r="F38">
        <v>68.099999999999994</v>
      </c>
      <c r="G38" t="s">
        <v>0</v>
      </c>
      <c r="H38">
        <f t="shared" si="0"/>
        <v>0.1437125748502994</v>
      </c>
    </row>
    <row r="39" spans="1:8" x14ac:dyDescent="0.3">
      <c r="A39" t="s">
        <v>441</v>
      </c>
      <c r="B39" t="s">
        <v>130</v>
      </c>
      <c r="C39">
        <v>0.6</v>
      </c>
      <c r="D39">
        <v>73</v>
      </c>
      <c r="E39">
        <v>506</v>
      </c>
      <c r="F39">
        <v>48.8</v>
      </c>
      <c r="G39" t="s">
        <v>0</v>
      </c>
      <c r="H39">
        <f t="shared" si="0"/>
        <v>0.14426877470355731</v>
      </c>
    </row>
    <row r="40" spans="1:8" x14ac:dyDescent="0.3">
      <c r="A40" t="s">
        <v>401</v>
      </c>
      <c r="B40" t="s">
        <v>130</v>
      </c>
      <c r="C40">
        <v>0.6</v>
      </c>
      <c r="D40">
        <v>71</v>
      </c>
      <c r="E40">
        <v>501</v>
      </c>
      <c r="F40">
        <v>85.6</v>
      </c>
      <c r="G40" t="s">
        <v>9</v>
      </c>
      <c r="H40">
        <f t="shared" si="0"/>
        <v>0.14171656686626746</v>
      </c>
    </row>
    <row r="41" spans="1:8" x14ac:dyDescent="0.3">
      <c r="A41" t="s">
        <v>477</v>
      </c>
      <c r="B41" t="s">
        <v>130</v>
      </c>
      <c r="C41">
        <v>0.6</v>
      </c>
      <c r="D41">
        <v>71</v>
      </c>
      <c r="E41">
        <v>502</v>
      </c>
      <c r="F41">
        <v>36.9</v>
      </c>
      <c r="G41" t="s">
        <v>0</v>
      </c>
      <c r="H41">
        <f t="shared" si="0"/>
        <v>0.14143426294820718</v>
      </c>
    </row>
    <row r="42" spans="1:8" x14ac:dyDescent="0.3">
      <c r="A42" t="s">
        <v>437</v>
      </c>
      <c r="B42" t="s">
        <v>130</v>
      </c>
      <c r="C42">
        <v>0.6</v>
      </c>
      <c r="D42">
        <v>75</v>
      </c>
      <c r="E42">
        <v>507</v>
      </c>
      <c r="F42">
        <v>92.7</v>
      </c>
      <c r="G42" t="s">
        <v>9</v>
      </c>
      <c r="H42">
        <f t="shared" si="0"/>
        <v>0.14792899408284024</v>
      </c>
    </row>
    <row r="43" spans="1:8" x14ac:dyDescent="0.3">
      <c r="A43" t="s">
        <v>397</v>
      </c>
      <c r="B43" t="s">
        <v>130</v>
      </c>
      <c r="C43">
        <v>0.6</v>
      </c>
      <c r="D43">
        <v>72</v>
      </c>
      <c r="E43">
        <v>504</v>
      </c>
      <c r="F43">
        <v>34.1</v>
      </c>
      <c r="G43" t="s">
        <v>0</v>
      </c>
      <c r="H43">
        <f t="shared" si="0"/>
        <v>0.14285714285714285</v>
      </c>
    </row>
    <row r="44" spans="1:8" x14ac:dyDescent="0.3">
      <c r="A44" t="s">
        <v>473</v>
      </c>
      <c r="B44" t="s">
        <v>130</v>
      </c>
      <c r="C44">
        <v>0.6</v>
      </c>
      <c r="D44">
        <v>72</v>
      </c>
      <c r="E44">
        <v>501</v>
      </c>
      <c r="F44">
        <v>84.8</v>
      </c>
      <c r="G44" t="s">
        <v>9</v>
      </c>
      <c r="H44">
        <f t="shared" si="0"/>
        <v>0.1437125748502994</v>
      </c>
    </row>
    <row r="45" spans="1:8" x14ac:dyDescent="0.3">
      <c r="A45" t="s">
        <v>433</v>
      </c>
      <c r="B45" t="s">
        <v>130</v>
      </c>
      <c r="C45">
        <v>0.6</v>
      </c>
      <c r="D45">
        <v>73</v>
      </c>
      <c r="E45">
        <v>501</v>
      </c>
      <c r="F45">
        <v>70.5</v>
      </c>
      <c r="G45" t="s">
        <v>0</v>
      </c>
      <c r="H45">
        <f t="shared" si="0"/>
        <v>0.14570858283433133</v>
      </c>
    </row>
    <row r="46" spans="1:8" x14ac:dyDescent="0.3">
      <c r="A46" t="s">
        <v>393</v>
      </c>
      <c r="B46" t="s">
        <v>130</v>
      </c>
      <c r="C46">
        <v>0.6</v>
      </c>
      <c r="D46">
        <v>71</v>
      </c>
      <c r="E46">
        <v>504</v>
      </c>
      <c r="F46">
        <v>70.8</v>
      </c>
      <c r="G46" t="s">
        <v>0</v>
      </c>
      <c r="H46">
        <f t="shared" si="0"/>
        <v>0.14087301587301587</v>
      </c>
    </row>
    <row r="47" spans="1:8" x14ac:dyDescent="0.3">
      <c r="A47" t="s">
        <v>469</v>
      </c>
      <c r="B47" t="s">
        <v>130</v>
      </c>
      <c r="C47">
        <v>0.6</v>
      </c>
      <c r="D47">
        <v>71</v>
      </c>
      <c r="E47">
        <v>500</v>
      </c>
      <c r="F47">
        <v>47.8</v>
      </c>
      <c r="G47" t="s">
        <v>0</v>
      </c>
      <c r="H47">
        <f t="shared" si="0"/>
        <v>0.14199999999999999</v>
      </c>
    </row>
    <row r="48" spans="1:8" x14ac:dyDescent="0.3">
      <c r="A48" t="s">
        <v>429</v>
      </c>
      <c r="B48" t="s">
        <v>130</v>
      </c>
      <c r="C48">
        <v>0.6</v>
      </c>
      <c r="D48">
        <v>71</v>
      </c>
      <c r="E48">
        <v>500</v>
      </c>
      <c r="F48">
        <v>86.6</v>
      </c>
      <c r="G48" t="s">
        <v>9</v>
      </c>
      <c r="H48">
        <f t="shared" si="0"/>
        <v>0.14199999999999999</v>
      </c>
    </row>
    <row r="49" spans="1:8" x14ac:dyDescent="0.3">
      <c r="A49" t="s">
        <v>389</v>
      </c>
      <c r="B49" t="s">
        <v>130</v>
      </c>
      <c r="C49">
        <v>0.6</v>
      </c>
      <c r="D49">
        <v>74</v>
      </c>
      <c r="E49">
        <v>501</v>
      </c>
      <c r="F49">
        <v>48.7</v>
      </c>
      <c r="G49" t="s">
        <v>0</v>
      </c>
      <c r="H49">
        <f t="shared" si="0"/>
        <v>0.14770459081836326</v>
      </c>
    </row>
    <row r="50" spans="1:8" x14ac:dyDescent="0.3">
      <c r="A50" t="s">
        <v>465</v>
      </c>
      <c r="B50" t="s">
        <v>130</v>
      </c>
      <c r="C50">
        <v>0.6</v>
      </c>
      <c r="D50">
        <v>74</v>
      </c>
      <c r="E50">
        <v>503</v>
      </c>
      <c r="F50">
        <v>47.5</v>
      </c>
      <c r="G50" t="s">
        <v>0</v>
      </c>
      <c r="H50">
        <f t="shared" si="0"/>
        <v>0.14711729622266401</v>
      </c>
    </row>
    <row r="51" spans="1:8" x14ac:dyDescent="0.3">
      <c r="A51" t="s">
        <v>425</v>
      </c>
      <c r="B51" t="s">
        <v>130</v>
      </c>
      <c r="C51">
        <v>0.6</v>
      </c>
      <c r="D51">
        <v>71</v>
      </c>
      <c r="E51">
        <v>502</v>
      </c>
      <c r="F51">
        <v>84.5</v>
      </c>
      <c r="G51" t="s">
        <v>9</v>
      </c>
      <c r="H51">
        <f t="shared" si="0"/>
        <v>0.14143426294820718</v>
      </c>
    </row>
    <row r="52" spans="1:8" x14ac:dyDescent="0.3">
      <c r="A52" t="s">
        <v>385</v>
      </c>
      <c r="B52" t="s">
        <v>130</v>
      </c>
      <c r="C52">
        <v>0.6</v>
      </c>
      <c r="D52">
        <v>74</v>
      </c>
      <c r="E52">
        <v>503</v>
      </c>
      <c r="F52">
        <v>46.9</v>
      </c>
      <c r="G52" t="s">
        <v>0</v>
      </c>
      <c r="H52">
        <f t="shared" si="0"/>
        <v>0.14711729622266401</v>
      </c>
    </row>
    <row r="53" spans="1:8" x14ac:dyDescent="0.3">
      <c r="A53" t="s">
        <v>461</v>
      </c>
      <c r="B53" t="s">
        <v>130</v>
      </c>
      <c r="C53">
        <v>0.6</v>
      </c>
      <c r="D53">
        <v>72</v>
      </c>
      <c r="E53">
        <v>500</v>
      </c>
      <c r="F53">
        <v>16</v>
      </c>
      <c r="G53" t="s">
        <v>0</v>
      </c>
      <c r="H53">
        <f t="shared" si="0"/>
        <v>0.14399999999999999</v>
      </c>
    </row>
    <row r="54" spans="1:8" x14ac:dyDescent="0.3">
      <c r="A54" t="s">
        <v>421</v>
      </c>
      <c r="B54" t="s">
        <v>130</v>
      </c>
      <c r="C54">
        <v>0.6</v>
      </c>
      <c r="D54">
        <v>72</v>
      </c>
      <c r="E54">
        <v>503</v>
      </c>
      <c r="F54">
        <v>44.7</v>
      </c>
      <c r="G54" t="s">
        <v>0</v>
      </c>
      <c r="H54">
        <f t="shared" si="0"/>
        <v>0.14314115308151093</v>
      </c>
    </row>
    <row r="55" spans="1:8" x14ac:dyDescent="0.3">
      <c r="A55" t="s">
        <v>381</v>
      </c>
      <c r="B55" t="s">
        <v>130</v>
      </c>
      <c r="C55">
        <v>0.6</v>
      </c>
      <c r="D55">
        <v>71</v>
      </c>
      <c r="E55">
        <v>502</v>
      </c>
      <c r="F55">
        <v>55</v>
      </c>
      <c r="G55" t="s">
        <v>0</v>
      </c>
      <c r="H55">
        <f t="shared" si="0"/>
        <v>0.14143426294820718</v>
      </c>
    </row>
    <row r="56" spans="1:8" x14ac:dyDescent="0.3">
      <c r="A56" t="s">
        <v>457</v>
      </c>
      <c r="B56" t="s">
        <v>130</v>
      </c>
      <c r="C56">
        <v>0.6</v>
      </c>
      <c r="D56">
        <v>73</v>
      </c>
      <c r="E56">
        <v>502</v>
      </c>
      <c r="F56">
        <v>48.4</v>
      </c>
      <c r="G56" t="s">
        <v>0</v>
      </c>
      <c r="H56">
        <f t="shared" si="0"/>
        <v>0.1454183266932271</v>
      </c>
    </row>
    <row r="57" spans="1:8" x14ac:dyDescent="0.3">
      <c r="A57" t="s">
        <v>417</v>
      </c>
      <c r="B57" t="s">
        <v>130</v>
      </c>
      <c r="C57">
        <v>0.6</v>
      </c>
      <c r="D57">
        <v>72</v>
      </c>
      <c r="E57">
        <v>503</v>
      </c>
      <c r="F57">
        <v>75.3</v>
      </c>
      <c r="G57" t="s">
        <v>0</v>
      </c>
      <c r="H57">
        <f t="shared" si="0"/>
        <v>0.14314115308151093</v>
      </c>
    </row>
    <row r="58" spans="1:8" x14ac:dyDescent="0.3">
      <c r="A58" t="s">
        <v>377</v>
      </c>
      <c r="B58" t="s">
        <v>130</v>
      </c>
      <c r="C58">
        <v>0.6</v>
      </c>
      <c r="D58">
        <v>73</v>
      </c>
      <c r="E58">
        <v>505</v>
      </c>
      <c r="F58">
        <v>34.700000000000003</v>
      </c>
      <c r="G58" t="s">
        <v>0</v>
      </c>
      <c r="H58">
        <f t="shared" si="0"/>
        <v>0.14455445544554454</v>
      </c>
    </row>
    <row r="59" spans="1:8" x14ac:dyDescent="0.3">
      <c r="A59" t="s">
        <v>453</v>
      </c>
      <c r="B59" t="s">
        <v>130</v>
      </c>
      <c r="C59">
        <v>0.6</v>
      </c>
      <c r="D59">
        <v>73</v>
      </c>
      <c r="E59">
        <v>501</v>
      </c>
      <c r="F59">
        <v>42.7</v>
      </c>
      <c r="G59" t="s">
        <v>0</v>
      </c>
      <c r="H59">
        <f t="shared" si="0"/>
        <v>0.14570858283433133</v>
      </c>
    </row>
    <row r="60" spans="1:8" x14ac:dyDescent="0.3">
      <c r="A60" t="s">
        <v>413</v>
      </c>
      <c r="B60" t="s">
        <v>130</v>
      </c>
      <c r="C60">
        <v>0.6</v>
      </c>
      <c r="D60">
        <v>72</v>
      </c>
      <c r="E60">
        <v>500</v>
      </c>
      <c r="F60">
        <v>55</v>
      </c>
      <c r="G60" t="s">
        <v>0</v>
      </c>
      <c r="H60">
        <f t="shared" si="0"/>
        <v>0.14399999999999999</v>
      </c>
    </row>
    <row r="61" spans="1:8" x14ac:dyDescent="0.3">
      <c r="A61" t="s">
        <v>373</v>
      </c>
      <c r="B61" t="s">
        <v>130</v>
      </c>
      <c r="C61">
        <v>0.6</v>
      </c>
      <c r="D61">
        <v>71</v>
      </c>
      <c r="E61">
        <v>503</v>
      </c>
      <c r="F61">
        <v>48.3</v>
      </c>
      <c r="G61" t="s">
        <v>0</v>
      </c>
      <c r="H61">
        <f t="shared" si="0"/>
        <v>0.14115308151093439</v>
      </c>
    </row>
    <row r="62" spans="1:8" x14ac:dyDescent="0.3">
      <c r="A62" t="s">
        <v>484</v>
      </c>
      <c r="B62" t="s">
        <v>130</v>
      </c>
      <c r="C62">
        <v>0.89999999999999902</v>
      </c>
      <c r="D62">
        <v>102</v>
      </c>
      <c r="E62">
        <v>501</v>
      </c>
      <c r="F62">
        <v>34.700000000000003</v>
      </c>
      <c r="G62" t="s">
        <v>0</v>
      </c>
      <c r="H62">
        <f t="shared" si="0"/>
        <v>0.20359281437125748</v>
      </c>
    </row>
    <row r="63" spans="1:8" x14ac:dyDescent="0.3">
      <c r="A63" t="s">
        <v>444</v>
      </c>
      <c r="B63" t="s">
        <v>130</v>
      </c>
      <c r="C63">
        <v>0.89999999999999902</v>
      </c>
      <c r="D63">
        <v>101</v>
      </c>
      <c r="E63">
        <v>505</v>
      </c>
      <c r="F63">
        <v>41.8</v>
      </c>
      <c r="G63" t="s">
        <v>0</v>
      </c>
      <c r="H63">
        <f t="shared" si="0"/>
        <v>0.2</v>
      </c>
    </row>
    <row r="64" spans="1:8" x14ac:dyDescent="0.3">
      <c r="A64" t="s">
        <v>404</v>
      </c>
      <c r="B64" t="s">
        <v>130</v>
      </c>
      <c r="C64">
        <v>0.89999999999999902</v>
      </c>
      <c r="D64">
        <v>100</v>
      </c>
      <c r="E64">
        <v>500</v>
      </c>
      <c r="F64">
        <v>37</v>
      </c>
      <c r="G64" t="s">
        <v>0</v>
      </c>
      <c r="H64">
        <f t="shared" si="0"/>
        <v>0.2</v>
      </c>
    </row>
    <row r="65" spans="1:8" x14ac:dyDescent="0.3">
      <c r="A65" t="s">
        <v>488</v>
      </c>
      <c r="B65" t="s">
        <v>130</v>
      </c>
      <c r="C65">
        <v>0.89999999999999902</v>
      </c>
      <c r="D65">
        <v>102</v>
      </c>
      <c r="E65">
        <v>504</v>
      </c>
      <c r="F65">
        <v>33.5</v>
      </c>
      <c r="G65" t="s">
        <v>0</v>
      </c>
      <c r="H65">
        <f t="shared" si="0"/>
        <v>0.20238095238095238</v>
      </c>
    </row>
    <row r="66" spans="1:8" x14ac:dyDescent="0.3">
      <c r="A66" t="s">
        <v>448</v>
      </c>
      <c r="B66" t="s">
        <v>130</v>
      </c>
      <c r="C66">
        <v>0.89999999999999902</v>
      </c>
      <c r="D66">
        <v>102</v>
      </c>
      <c r="E66">
        <v>500</v>
      </c>
      <c r="F66">
        <v>45.8</v>
      </c>
      <c r="G66" t="s">
        <v>0</v>
      </c>
      <c r="H66">
        <f t="shared" si="0"/>
        <v>0.20399999999999999</v>
      </c>
    </row>
    <row r="67" spans="1:8" x14ac:dyDescent="0.3">
      <c r="A67" t="s">
        <v>408</v>
      </c>
      <c r="B67" t="s">
        <v>130</v>
      </c>
      <c r="C67">
        <v>0.89999999999999902</v>
      </c>
      <c r="D67">
        <v>102</v>
      </c>
      <c r="E67">
        <v>500</v>
      </c>
      <c r="F67">
        <v>38.200000000000003</v>
      </c>
      <c r="G67" t="s">
        <v>0</v>
      </c>
      <c r="H67">
        <f t="shared" ref="H67:H121" si="1">D67/E67</f>
        <v>0.20399999999999999</v>
      </c>
    </row>
    <row r="68" spans="1:8" x14ac:dyDescent="0.3">
      <c r="A68" t="s">
        <v>480</v>
      </c>
      <c r="B68" t="s">
        <v>130</v>
      </c>
      <c r="C68">
        <v>0.89999999999999902</v>
      </c>
      <c r="D68">
        <v>101</v>
      </c>
      <c r="E68">
        <v>501</v>
      </c>
      <c r="F68">
        <v>46.3</v>
      </c>
      <c r="G68" t="s">
        <v>0</v>
      </c>
      <c r="H68">
        <f t="shared" si="1"/>
        <v>0.20159680638722555</v>
      </c>
    </row>
    <row r="69" spans="1:8" x14ac:dyDescent="0.3">
      <c r="A69" t="s">
        <v>440</v>
      </c>
      <c r="B69" t="s">
        <v>130</v>
      </c>
      <c r="C69">
        <v>0.89999999999999902</v>
      </c>
      <c r="D69">
        <v>102</v>
      </c>
      <c r="E69">
        <v>506</v>
      </c>
      <c r="F69">
        <v>11.1</v>
      </c>
      <c r="G69" t="s">
        <v>0</v>
      </c>
      <c r="H69">
        <f t="shared" si="1"/>
        <v>0.20158102766798419</v>
      </c>
    </row>
    <row r="70" spans="1:8" x14ac:dyDescent="0.3">
      <c r="A70" t="s">
        <v>400</v>
      </c>
      <c r="B70" t="s">
        <v>130</v>
      </c>
      <c r="C70">
        <v>0.89999999999999902</v>
      </c>
      <c r="D70">
        <v>100</v>
      </c>
      <c r="E70">
        <v>501</v>
      </c>
      <c r="F70">
        <v>48.7</v>
      </c>
      <c r="G70" t="s">
        <v>0</v>
      </c>
      <c r="H70">
        <f t="shared" si="1"/>
        <v>0.19960079840319361</v>
      </c>
    </row>
    <row r="71" spans="1:8" x14ac:dyDescent="0.3">
      <c r="A71" t="s">
        <v>476</v>
      </c>
      <c r="B71" t="s">
        <v>130</v>
      </c>
      <c r="C71">
        <v>0.89999999999999902</v>
      </c>
      <c r="D71">
        <v>101</v>
      </c>
      <c r="E71">
        <v>502</v>
      </c>
      <c r="F71">
        <v>13.3</v>
      </c>
      <c r="G71" t="s">
        <v>0</v>
      </c>
      <c r="H71">
        <f t="shared" si="1"/>
        <v>0.20119521912350596</v>
      </c>
    </row>
    <row r="72" spans="1:8" x14ac:dyDescent="0.3">
      <c r="A72" t="s">
        <v>436</v>
      </c>
      <c r="B72" t="s">
        <v>130</v>
      </c>
      <c r="C72">
        <v>0.89999999999999902</v>
      </c>
      <c r="D72">
        <v>105</v>
      </c>
      <c r="E72">
        <v>507</v>
      </c>
      <c r="F72">
        <v>42.8</v>
      </c>
      <c r="G72" t="s">
        <v>0</v>
      </c>
      <c r="H72">
        <f t="shared" si="1"/>
        <v>0.20710059171597633</v>
      </c>
    </row>
    <row r="73" spans="1:8" x14ac:dyDescent="0.3">
      <c r="A73" t="s">
        <v>396</v>
      </c>
      <c r="B73" t="s">
        <v>130</v>
      </c>
      <c r="C73">
        <v>0.89999999999999902</v>
      </c>
      <c r="D73">
        <v>99</v>
      </c>
      <c r="E73">
        <v>504</v>
      </c>
      <c r="F73">
        <v>16.5</v>
      </c>
      <c r="G73" t="s">
        <v>0</v>
      </c>
      <c r="H73">
        <f t="shared" si="1"/>
        <v>0.19642857142857142</v>
      </c>
    </row>
    <row r="74" spans="1:8" x14ac:dyDescent="0.3">
      <c r="A74" t="s">
        <v>472</v>
      </c>
      <c r="B74" t="s">
        <v>130</v>
      </c>
      <c r="C74">
        <v>0.89999999999999902</v>
      </c>
      <c r="D74">
        <v>100</v>
      </c>
      <c r="E74">
        <v>501</v>
      </c>
      <c r="F74">
        <v>38.5</v>
      </c>
      <c r="G74" t="s">
        <v>0</v>
      </c>
      <c r="H74">
        <f t="shared" si="1"/>
        <v>0.19960079840319361</v>
      </c>
    </row>
    <row r="75" spans="1:8" x14ac:dyDescent="0.3">
      <c r="A75" t="s">
        <v>432</v>
      </c>
      <c r="B75" t="s">
        <v>130</v>
      </c>
      <c r="C75">
        <v>0.89999999999999902</v>
      </c>
      <c r="D75">
        <v>103</v>
      </c>
      <c r="E75">
        <v>501</v>
      </c>
      <c r="F75">
        <v>36.5</v>
      </c>
      <c r="G75" t="s">
        <v>0</v>
      </c>
      <c r="H75">
        <f t="shared" si="1"/>
        <v>0.20558882235528941</v>
      </c>
    </row>
    <row r="76" spans="1:8" x14ac:dyDescent="0.3">
      <c r="A76" t="s">
        <v>392</v>
      </c>
      <c r="B76" t="s">
        <v>130</v>
      </c>
      <c r="C76">
        <v>0.89999999999999902</v>
      </c>
      <c r="D76">
        <v>101</v>
      </c>
      <c r="E76">
        <v>504</v>
      </c>
      <c r="F76">
        <v>43.7</v>
      </c>
      <c r="G76" t="s">
        <v>0</v>
      </c>
      <c r="H76">
        <f t="shared" si="1"/>
        <v>0.20039682539682541</v>
      </c>
    </row>
    <row r="77" spans="1:8" x14ac:dyDescent="0.3">
      <c r="A77" t="s">
        <v>468</v>
      </c>
      <c r="B77" t="s">
        <v>130</v>
      </c>
      <c r="C77">
        <v>0.89999999999999902</v>
      </c>
      <c r="D77">
        <v>100</v>
      </c>
      <c r="E77">
        <v>500</v>
      </c>
      <c r="F77">
        <v>27.4</v>
      </c>
      <c r="G77" t="s">
        <v>0</v>
      </c>
      <c r="H77">
        <f t="shared" si="1"/>
        <v>0.2</v>
      </c>
    </row>
    <row r="78" spans="1:8" x14ac:dyDescent="0.3">
      <c r="A78" t="s">
        <v>428</v>
      </c>
      <c r="B78" t="s">
        <v>130</v>
      </c>
      <c r="C78">
        <v>0.89999999999999902</v>
      </c>
      <c r="D78">
        <v>99</v>
      </c>
      <c r="E78">
        <v>500</v>
      </c>
      <c r="F78">
        <v>26.2</v>
      </c>
      <c r="G78" t="s">
        <v>0</v>
      </c>
      <c r="H78">
        <f t="shared" si="1"/>
        <v>0.19800000000000001</v>
      </c>
    </row>
    <row r="79" spans="1:8" x14ac:dyDescent="0.3">
      <c r="A79" t="s">
        <v>388</v>
      </c>
      <c r="B79" t="s">
        <v>130</v>
      </c>
      <c r="C79">
        <v>0.89999999999999902</v>
      </c>
      <c r="D79">
        <v>104</v>
      </c>
      <c r="E79">
        <v>501</v>
      </c>
      <c r="F79">
        <v>36.9</v>
      </c>
      <c r="G79" t="s">
        <v>0</v>
      </c>
      <c r="H79">
        <f t="shared" si="1"/>
        <v>0.20758483033932135</v>
      </c>
    </row>
    <row r="80" spans="1:8" x14ac:dyDescent="0.3">
      <c r="A80" t="s">
        <v>464</v>
      </c>
      <c r="B80" t="s">
        <v>130</v>
      </c>
      <c r="C80">
        <v>0.89999999999999902</v>
      </c>
      <c r="D80">
        <v>103</v>
      </c>
      <c r="E80">
        <v>503</v>
      </c>
      <c r="F80">
        <v>30</v>
      </c>
      <c r="G80" t="s">
        <v>0</v>
      </c>
      <c r="H80">
        <f t="shared" si="1"/>
        <v>0.2047713717693837</v>
      </c>
    </row>
    <row r="81" spans="1:8" x14ac:dyDescent="0.3">
      <c r="A81" t="s">
        <v>424</v>
      </c>
      <c r="B81" t="s">
        <v>130</v>
      </c>
      <c r="C81">
        <v>0.89999999999999902</v>
      </c>
      <c r="D81">
        <v>101</v>
      </c>
      <c r="E81">
        <v>502</v>
      </c>
      <c r="F81">
        <v>5.6</v>
      </c>
      <c r="G81" t="s">
        <v>0</v>
      </c>
      <c r="H81">
        <f t="shared" si="1"/>
        <v>0.20119521912350596</v>
      </c>
    </row>
    <row r="82" spans="1:8" x14ac:dyDescent="0.3">
      <c r="A82" t="s">
        <v>384</v>
      </c>
      <c r="B82" t="s">
        <v>130</v>
      </c>
      <c r="C82">
        <v>0.89999999999999902</v>
      </c>
      <c r="D82">
        <v>103</v>
      </c>
      <c r="E82">
        <v>503</v>
      </c>
      <c r="F82">
        <v>20.7</v>
      </c>
      <c r="G82" t="s">
        <v>0</v>
      </c>
      <c r="H82">
        <f t="shared" si="1"/>
        <v>0.2047713717693837</v>
      </c>
    </row>
    <row r="83" spans="1:8" x14ac:dyDescent="0.3">
      <c r="A83" t="s">
        <v>460</v>
      </c>
      <c r="B83" t="s">
        <v>130</v>
      </c>
      <c r="C83">
        <v>0.89999999999999902</v>
      </c>
      <c r="D83">
        <v>101</v>
      </c>
      <c r="E83">
        <v>500</v>
      </c>
      <c r="F83">
        <v>22.8</v>
      </c>
      <c r="G83" t="s">
        <v>0</v>
      </c>
      <c r="H83">
        <f t="shared" si="1"/>
        <v>0.20200000000000001</v>
      </c>
    </row>
    <row r="84" spans="1:8" x14ac:dyDescent="0.3">
      <c r="A84" t="s">
        <v>420</v>
      </c>
      <c r="B84" t="s">
        <v>130</v>
      </c>
      <c r="C84">
        <v>0.89999999999999902</v>
      </c>
      <c r="D84">
        <v>102</v>
      </c>
      <c r="E84">
        <v>503</v>
      </c>
      <c r="F84">
        <v>36.6</v>
      </c>
      <c r="G84" t="s">
        <v>0</v>
      </c>
      <c r="H84">
        <f t="shared" si="1"/>
        <v>0.20278330019880716</v>
      </c>
    </row>
    <row r="85" spans="1:8" x14ac:dyDescent="0.3">
      <c r="A85" t="s">
        <v>380</v>
      </c>
      <c r="B85" t="s">
        <v>130</v>
      </c>
      <c r="C85">
        <v>0.89999999999999902</v>
      </c>
      <c r="D85">
        <v>100</v>
      </c>
      <c r="E85">
        <v>502</v>
      </c>
      <c r="F85">
        <v>26.5</v>
      </c>
      <c r="G85" t="s">
        <v>0</v>
      </c>
      <c r="H85">
        <f t="shared" si="1"/>
        <v>0.19920318725099601</v>
      </c>
    </row>
    <row r="86" spans="1:8" x14ac:dyDescent="0.3">
      <c r="A86" t="s">
        <v>456</v>
      </c>
      <c r="B86" t="s">
        <v>130</v>
      </c>
      <c r="C86">
        <v>0.89999999999999902</v>
      </c>
      <c r="D86">
        <v>101</v>
      </c>
      <c r="E86">
        <v>502</v>
      </c>
      <c r="F86">
        <v>9.8000000000000007</v>
      </c>
      <c r="G86" t="s">
        <v>0</v>
      </c>
      <c r="H86">
        <f t="shared" si="1"/>
        <v>0.20119521912350596</v>
      </c>
    </row>
    <row r="87" spans="1:8" x14ac:dyDescent="0.3">
      <c r="A87" t="s">
        <v>416</v>
      </c>
      <c r="B87" t="s">
        <v>130</v>
      </c>
      <c r="C87">
        <v>0.89999999999999902</v>
      </c>
      <c r="D87">
        <v>100</v>
      </c>
      <c r="E87">
        <v>503</v>
      </c>
      <c r="F87">
        <v>22.3</v>
      </c>
      <c r="G87" t="s">
        <v>0</v>
      </c>
      <c r="H87">
        <f t="shared" si="1"/>
        <v>0.19880715705765409</v>
      </c>
    </row>
    <row r="88" spans="1:8" x14ac:dyDescent="0.3">
      <c r="A88" t="s">
        <v>376</v>
      </c>
      <c r="B88" t="s">
        <v>130</v>
      </c>
      <c r="C88">
        <v>0.89999999999999902</v>
      </c>
      <c r="D88">
        <v>102</v>
      </c>
      <c r="E88">
        <v>505</v>
      </c>
      <c r="F88">
        <v>28.9</v>
      </c>
      <c r="G88" t="s">
        <v>0</v>
      </c>
      <c r="H88">
        <f t="shared" si="1"/>
        <v>0.20198019801980199</v>
      </c>
    </row>
    <row r="89" spans="1:8" x14ac:dyDescent="0.3">
      <c r="A89" t="s">
        <v>452</v>
      </c>
      <c r="B89" t="s">
        <v>130</v>
      </c>
      <c r="C89">
        <v>0.89999999999999902</v>
      </c>
      <c r="D89">
        <v>103</v>
      </c>
      <c r="E89">
        <v>501</v>
      </c>
      <c r="F89">
        <v>32.5</v>
      </c>
      <c r="G89" t="s">
        <v>0</v>
      </c>
      <c r="H89">
        <f t="shared" si="1"/>
        <v>0.20558882235528941</v>
      </c>
    </row>
    <row r="90" spans="1:8" x14ac:dyDescent="0.3">
      <c r="A90" t="s">
        <v>412</v>
      </c>
      <c r="B90" t="s">
        <v>130</v>
      </c>
      <c r="C90">
        <v>0.89999999999999902</v>
      </c>
      <c r="D90">
        <v>102</v>
      </c>
      <c r="E90">
        <v>500</v>
      </c>
      <c r="F90">
        <v>28.8</v>
      </c>
      <c r="G90" t="s">
        <v>0</v>
      </c>
      <c r="H90">
        <f t="shared" si="1"/>
        <v>0.20399999999999999</v>
      </c>
    </row>
    <row r="91" spans="1:8" x14ac:dyDescent="0.3">
      <c r="A91" t="s">
        <v>372</v>
      </c>
      <c r="B91" t="s">
        <v>130</v>
      </c>
      <c r="C91">
        <v>0.89999999999999902</v>
      </c>
      <c r="D91">
        <v>101</v>
      </c>
      <c r="E91">
        <v>503</v>
      </c>
      <c r="F91">
        <v>10.7</v>
      </c>
      <c r="G91" t="s">
        <v>0</v>
      </c>
      <c r="H91">
        <f t="shared" si="1"/>
        <v>0.20079522862823063</v>
      </c>
    </row>
    <row r="92" spans="1:8" x14ac:dyDescent="0.3">
      <c r="A92" t="s">
        <v>483</v>
      </c>
      <c r="B92" t="s">
        <v>130</v>
      </c>
      <c r="C92">
        <v>1.2</v>
      </c>
      <c r="D92">
        <v>130</v>
      </c>
      <c r="E92">
        <v>501</v>
      </c>
      <c r="F92">
        <v>35.5</v>
      </c>
      <c r="G92" t="s">
        <v>0</v>
      </c>
      <c r="H92">
        <f t="shared" si="1"/>
        <v>0.25948103792415167</v>
      </c>
    </row>
    <row r="93" spans="1:8" x14ac:dyDescent="0.3">
      <c r="A93" t="s">
        <v>443</v>
      </c>
      <c r="B93" t="s">
        <v>130</v>
      </c>
      <c r="C93">
        <v>1.2</v>
      </c>
      <c r="D93">
        <v>131</v>
      </c>
      <c r="E93">
        <v>505</v>
      </c>
      <c r="F93">
        <v>30.5</v>
      </c>
      <c r="G93" t="s">
        <v>0</v>
      </c>
      <c r="H93">
        <f t="shared" si="1"/>
        <v>0.25940594059405941</v>
      </c>
    </row>
    <row r="94" spans="1:8" x14ac:dyDescent="0.3">
      <c r="A94" t="s">
        <v>403</v>
      </c>
      <c r="B94" t="s">
        <v>130</v>
      </c>
      <c r="C94">
        <v>1.2</v>
      </c>
      <c r="D94">
        <v>130</v>
      </c>
      <c r="E94">
        <v>500</v>
      </c>
      <c r="F94">
        <v>22</v>
      </c>
      <c r="G94" t="s">
        <v>0</v>
      </c>
      <c r="H94">
        <f t="shared" si="1"/>
        <v>0.26</v>
      </c>
    </row>
    <row r="95" spans="1:8" x14ac:dyDescent="0.3">
      <c r="A95" t="s">
        <v>487</v>
      </c>
      <c r="B95" t="s">
        <v>130</v>
      </c>
      <c r="C95">
        <v>1.2</v>
      </c>
      <c r="D95">
        <v>130</v>
      </c>
      <c r="E95">
        <v>504</v>
      </c>
      <c r="F95">
        <v>25.6</v>
      </c>
      <c r="G95" t="s">
        <v>0</v>
      </c>
      <c r="H95">
        <f t="shared" si="1"/>
        <v>0.25793650793650796</v>
      </c>
    </row>
    <row r="96" spans="1:8" x14ac:dyDescent="0.3">
      <c r="A96" t="s">
        <v>447</v>
      </c>
      <c r="B96" t="s">
        <v>130</v>
      </c>
      <c r="C96">
        <v>1.2</v>
      </c>
      <c r="D96">
        <v>130</v>
      </c>
      <c r="E96">
        <v>500</v>
      </c>
      <c r="F96">
        <v>37.4</v>
      </c>
      <c r="G96" t="s">
        <v>0</v>
      </c>
      <c r="H96">
        <f t="shared" si="1"/>
        <v>0.26</v>
      </c>
    </row>
    <row r="97" spans="1:8" x14ac:dyDescent="0.3">
      <c r="A97" t="s">
        <v>407</v>
      </c>
      <c r="B97" t="s">
        <v>130</v>
      </c>
      <c r="C97">
        <v>1.2</v>
      </c>
      <c r="D97">
        <v>127</v>
      </c>
      <c r="E97">
        <v>500</v>
      </c>
      <c r="F97">
        <v>31</v>
      </c>
      <c r="G97" t="s">
        <v>0</v>
      </c>
      <c r="H97">
        <f t="shared" si="1"/>
        <v>0.254</v>
      </c>
    </row>
    <row r="98" spans="1:8" x14ac:dyDescent="0.3">
      <c r="A98" t="s">
        <v>479</v>
      </c>
      <c r="B98" t="s">
        <v>130</v>
      </c>
      <c r="C98">
        <v>1.2</v>
      </c>
      <c r="D98">
        <v>128</v>
      </c>
      <c r="E98">
        <v>501</v>
      </c>
      <c r="F98">
        <v>2.8</v>
      </c>
      <c r="G98" t="s">
        <v>0</v>
      </c>
      <c r="H98">
        <f t="shared" si="1"/>
        <v>0.2554890219560878</v>
      </c>
    </row>
    <row r="99" spans="1:8" x14ac:dyDescent="0.3">
      <c r="A99" t="s">
        <v>439</v>
      </c>
      <c r="B99" t="s">
        <v>130</v>
      </c>
      <c r="C99">
        <v>1.2</v>
      </c>
      <c r="D99">
        <v>130</v>
      </c>
      <c r="E99">
        <v>506</v>
      </c>
      <c r="F99">
        <v>5.7</v>
      </c>
      <c r="G99" t="s">
        <v>0</v>
      </c>
      <c r="H99">
        <f t="shared" si="1"/>
        <v>0.25691699604743085</v>
      </c>
    </row>
    <row r="100" spans="1:8" x14ac:dyDescent="0.3">
      <c r="A100" t="s">
        <v>399</v>
      </c>
      <c r="B100" t="s">
        <v>130</v>
      </c>
      <c r="C100">
        <v>1.2</v>
      </c>
      <c r="D100">
        <v>129</v>
      </c>
      <c r="E100">
        <v>501</v>
      </c>
      <c r="F100">
        <v>8</v>
      </c>
      <c r="G100" t="s">
        <v>0</v>
      </c>
      <c r="H100">
        <f t="shared" si="1"/>
        <v>0.25748502994011974</v>
      </c>
    </row>
    <row r="101" spans="1:8" x14ac:dyDescent="0.3">
      <c r="A101" t="s">
        <v>475</v>
      </c>
      <c r="B101" t="s">
        <v>130</v>
      </c>
      <c r="C101">
        <v>1.2</v>
      </c>
      <c r="D101">
        <v>128</v>
      </c>
      <c r="E101">
        <v>502</v>
      </c>
      <c r="F101">
        <v>7.4</v>
      </c>
      <c r="G101" t="s">
        <v>0</v>
      </c>
      <c r="H101">
        <f t="shared" si="1"/>
        <v>0.2549800796812749</v>
      </c>
    </row>
    <row r="102" spans="1:8" x14ac:dyDescent="0.3">
      <c r="A102" t="s">
        <v>435</v>
      </c>
      <c r="B102" t="s">
        <v>130</v>
      </c>
      <c r="C102">
        <v>1.2</v>
      </c>
      <c r="D102">
        <v>133</v>
      </c>
      <c r="E102">
        <v>507</v>
      </c>
      <c r="F102">
        <v>44.4</v>
      </c>
      <c r="G102" t="s">
        <v>0</v>
      </c>
      <c r="H102">
        <f t="shared" si="1"/>
        <v>0.26232741617357003</v>
      </c>
    </row>
    <row r="103" spans="1:8" x14ac:dyDescent="0.3">
      <c r="A103" t="s">
        <v>395</v>
      </c>
      <c r="B103" t="s">
        <v>130</v>
      </c>
      <c r="C103">
        <v>1.2</v>
      </c>
      <c r="D103">
        <v>132</v>
      </c>
      <c r="E103">
        <v>504</v>
      </c>
      <c r="F103">
        <v>22</v>
      </c>
      <c r="G103" t="s">
        <v>0</v>
      </c>
      <c r="H103">
        <f t="shared" si="1"/>
        <v>0.26190476190476192</v>
      </c>
    </row>
    <row r="104" spans="1:8" x14ac:dyDescent="0.3">
      <c r="A104" t="s">
        <v>471</v>
      </c>
      <c r="B104" t="s">
        <v>130</v>
      </c>
      <c r="C104">
        <v>1.2</v>
      </c>
      <c r="D104">
        <v>130</v>
      </c>
      <c r="E104">
        <v>501</v>
      </c>
      <c r="F104">
        <v>41.5</v>
      </c>
      <c r="G104" t="s">
        <v>0</v>
      </c>
      <c r="H104">
        <f t="shared" si="1"/>
        <v>0.25948103792415167</v>
      </c>
    </row>
    <row r="105" spans="1:8" x14ac:dyDescent="0.3">
      <c r="A105" t="s">
        <v>431</v>
      </c>
      <c r="B105" t="s">
        <v>130</v>
      </c>
      <c r="C105">
        <v>1.2</v>
      </c>
      <c r="D105">
        <v>126</v>
      </c>
      <c r="E105">
        <v>501</v>
      </c>
      <c r="F105">
        <v>6.2</v>
      </c>
      <c r="G105" t="s">
        <v>0</v>
      </c>
      <c r="H105">
        <f t="shared" si="1"/>
        <v>0.25149700598802394</v>
      </c>
    </row>
    <row r="106" spans="1:8" x14ac:dyDescent="0.3">
      <c r="A106" t="s">
        <v>391</v>
      </c>
      <c r="B106" t="s">
        <v>130</v>
      </c>
      <c r="C106">
        <v>1.2</v>
      </c>
      <c r="D106">
        <v>129</v>
      </c>
      <c r="E106">
        <v>504</v>
      </c>
      <c r="F106">
        <v>22.6</v>
      </c>
      <c r="G106" t="s">
        <v>0</v>
      </c>
      <c r="H106">
        <f t="shared" si="1"/>
        <v>0.25595238095238093</v>
      </c>
    </row>
    <row r="107" spans="1:8" x14ac:dyDescent="0.3">
      <c r="A107" t="s">
        <v>467</v>
      </c>
      <c r="B107" t="s">
        <v>130</v>
      </c>
      <c r="C107">
        <v>1.2</v>
      </c>
      <c r="D107">
        <v>127</v>
      </c>
      <c r="E107">
        <v>500</v>
      </c>
      <c r="F107">
        <v>24</v>
      </c>
      <c r="G107" t="s">
        <v>0</v>
      </c>
      <c r="H107">
        <f t="shared" si="1"/>
        <v>0.254</v>
      </c>
    </row>
    <row r="108" spans="1:8" x14ac:dyDescent="0.3">
      <c r="A108" t="s">
        <v>427</v>
      </c>
      <c r="B108" t="s">
        <v>130</v>
      </c>
      <c r="C108">
        <v>1.2</v>
      </c>
      <c r="D108">
        <v>129</v>
      </c>
      <c r="E108">
        <v>500</v>
      </c>
      <c r="F108">
        <v>37.6</v>
      </c>
      <c r="G108" t="s">
        <v>0</v>
      </c>
      <c r="H108">
        <f t="shared" si="1"/>
        <v>0.25800000000000001</v>
      </c>
    </row>
    <row r="109" spans="1:8" x14ac:dyDescent="0.3">
      <c r="A109" t="s">
        <v>387</v>
      </c>
      <c r="B109" t="s">
        <v>130</v>
      </c>
      <c r="C109">
        <v>1.2</v>
      </c>
      <c r="D109">
        <v>126</v>
      </c>
      <c r="E109">
        <v>501</v>
      </c>
      <c r="F109">
        <v>40.5</v>
      </c>
      <c r="G109" t="s">
        <v>0</v>
      </c>
      <c r="H109">
        <f t="shared" si="1"/>
        <v>0.25149700598802394</v>
      </c>
    </row>
    <row r="110" spans="1:8" x14ac:dyDescent="0.3">
      <c r="A110" t="s">
        <v>463</v>
      </c>
      <c r="B110" t="s">
        <v>130</v>
      </c>
      <c r="C110">
        <v>1.2</v>
      </c>
      <c r="D110">
        <v>129</v>
      </c>
      <c r="E110">
        <v>503</v>
      </c>
      <c r="F110">
        <v>27.6</v>
      </c>
      <c r="G110" t="s">
        <v>0</v>
      </c>
      <c r="H110">
        <f t="shared" si="1"/>
        <v>0.25646123260437376</v>
      </c>
    </row>
    <row r="111" spans="1:8" x14ac:dyDescent="0.3">
      <c r="A111" t="s">
        <v>423</v>
      </c>
      <c r="B111" t="s">
        <v>130</v>
      </c>
      <c r="C111">
        <v>1.2</v>
      </c>
      <c r="D111">
        <v>126</v>
      </c>
      <c r="E111">
        <v>502</v>
      </c>
      <c r="F111">
        <v>22.7</v>
      </c>
      <c r="G111" t="s">
        <v>0</v>
      </c>
      <c r="H111">
        <f t="shared" si="1"/>
        <v>0.25099601593625498</v>
      </c>
    </row>
    <row r="112" spans="1:8" x14ac:dyDescent="0.3">
      <c r="A112" t="s">
        <v>383</v>
      </c>
      <c r="B112" t="s">
        <v>130</v>
      </c>
      <c r="C112">
        <v>1.2</v>
      </c>
      <c r="D112">
        <v>132</v>
      </c>
      <c r="E112">
        <v>503</v>
      </c>
      <c r="F112">
        <v>9.6999999999999993</v>
      </c>
      <c r="G112" t="s">
        <v>0</v>
      </c>
      <c r="H112">
        <f t="shared" si="1"/>
        <v>0.2624254473161034</v>
      </c>
    </row>
    <row r="113" spans="1:8" x14ac:dyDescent="0.3">
      <c r="A113" t="s">
        <v>459</v>
      </c>
      <c r="B113" t="s">
        <v>130</v>
      </c>
      <c r="C113">
        <v>1.2</v>
      </c>
      <c r="D113">
        <v>132</v>
      </c>
      <c r="E113">
        <v>500</v>
      </c>
      <c r="F113">
        <v>16.399999999999999</v>
      </c>
      <c r="G113" t="s">
        <v>0</v>
      </c>
      <c r="H113">
        <f t="shared" si="1"/>
        <v>0.26400000000000001</v>
      </c>
    </row>
    <row r="114" spans="1:8" x14ac:dyDescent="0.3">
      <c r="A114" t="s">
        <v>419</v>
      </c>
      <c r="B114" t="s">
        <v>130</v>
      </c>
      <c r="C114">
        <v>1.2</v>
      </c>
      <c r="D114">
        <v>131</v>
      </c>
      <c r="E114">
        <v>503</v>
      </c>
      <c r="F114">
        <v>24.1</v>
      </c>
      <c r="G114" t="s">
        <v>0</v>
      </c>
      <c r="H114">
        <f t="shared" si="1"/>
        <v>0.26043737574552683</v>
      </c>
    </row>
    <row r="115" spans="1:8" x14ac:dyDescent="0.3">
      <c r="A115" t="s">
        <v>379</v>
      </c>
      <c r="B115" t="s">
        <v>130</v>
      </c>
      <c r="C115">
        <v>1.2</v>
      </c>
      <c r="D115">
        <v>131</v>
      </c>
      <c r="E115">
        <v>502</v>
      </c>
      <c r="F115">
        <v>17.7</v>
      </c>
      <c r="G115" t="s">
        <v>0</v>
      </c>
      <c r="H115">
        <f t="shared" si="1"/>
        <v>0.26095617529880477</v>
      </c>
    </row>
    <row r="116" spans="1:8" x14ac:dyDescent="0.3">
      <c r="A116" t="s">
        <v>455</v>
      </c>
      <c r="B116" t="s">
        <v>130</v>
      </c>
      <c r="C116">
        <v>1.2</v>
      </c>
      <c r="D116">
        <v>130</v>
      </c>
      <c r="E116">
        <v>502</v>
      </c>
      <c r="F116">
        <v>20.9</v>
      </c>
      <c r="G116" t="s">
        <v>0</v>
      </c>
      <c r="H116">
        <f t="shared" si="1"/>
        <v>0.25896414342629481</v>
      </c>
    </row>
    <row r="117" spans="1:8" x14ac:dyDescent="0.3">
      <c r="A117" t="s">
        <v>415</v>
      </c>
      <c r="B117" t="s">
        <v>130</v>
      </c>
      <c r="C117">
        <v>1.2</v>
      </c>
      <c r="D117">
        <v>128</v>
      </c>
      <c r="E117">
        <v>503</v>
      </c>
      <c r="F117">
        <v>2.6</v>
      </c>
      <c r="G117" t="s">
        <v>0</v>
      </c>
      <c r="H117">
        <f t="shared" si="1"/>
        <v>0.25447316103379719</v>
      </c>
    </row>
    <row r="118" spans="1:8" x14ac:dyDescent="0.3">
      <c r="A118" t="s">
        <v>375</v>
      </c>
      <c r="B118" t="s">
        <v>130</v>
      </c>
      <c r="C118">
        <v>1.2</v>
      </c>
      <c r="D118">
        <v>130</v>
      </c>
      <c r="E118">
        <v>505</v>
      </c>
      <c r="F118">
        <v>15</v>
      </c>
      <c r="G118" t="s">
        <v>0</v>
      </c>
      <c r="H118">
        <f t="shared" si="1"/>
        <v>0.25742574257425743</v>
      </c>
    </row>
    <row r="119" spans="1:8" x14ac:dyDescent="0.3">
      <c r="A119" t="s">
        <v>451</v>
      </c>
      <c r="B119" t="s">
        <v>130</v>
      </c>
      <c r="C119">
        <v>1.2</v>
      </c>
      <c r="D119">
        <v>132</v>
      </c>
      <c r="E119">
        <v>501</v>
      </c>
      <c r="F119">
        <v>10.6</v>
      </c>
      <c r="G119" t="s">
        <v>0</v>
      </c>
      <c r="H119">
        <f t="shared" si="1"/>
        <v>0.26347305389221559</v>
      </c>
    </row>
    <row r="120" spans="1:8" x14ac:dyDescent="0.3">
      <c r="A120" t="s">
        <v>411</v>
      </c>
      <c r="B120" t="s">
        <v>130</v>
      </c>
      <c r="C120">
        <v>1.2</v>
      </c>
      <c r="D120">
        <v>130</v>
      </c>
      <c r="E120">
        <v>500</v>
      </c>
      <c r="F120">
        <v>27.6</v>
      </c>
      <c r="G120" t="s">
        <v>0</v>
      </c>
      <c r="H120">
        <f t="shared" si="1"/>
        <v>0.26</v>
      </c>
    </row>
    <row r="121" spans="1:8" x14ac:dyDescent="0.3">
      <c r="A121" t="s">
        <v>371</v>
      </c>
      <c r="B121" t="s">
        <v>130</v>
      </c>
      <c r="C121">
        <v>1.2</v>
      </c>
      <c r="D121">
        <v>127</v>
      </c>
      <c r="E121">
        <v>503</v>
      </c>
      <c r="F121">
        <v>4.5999999999999996</v>
      </c>
      <c r="G121" t="s">
        <v>0</v>
      </c>
      <c r="H121">
        <f t="shared" si="1"/>
        <v>0.25248508946322068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DEEC-E8BE-4D6C-B2C3-033ACEAA3F05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129</v>
      </c>
      <c r="B1" t="s">
        <v>128</v>
      </c>
      <c r="C1" t="s">
        <v>127</v>
      </c>
      <c r="D1" t="s">
        <v>126</v>
      </c>
      <c r="E1" t="s">
        <v>125</v>
      </c>
      <c r="F1" t="s">
        <v>124</v>
      </c>
      <c r="G1" t="s">
        <v>123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606</v>
      </c>
      <c r="B2" t="s">
        <v>1</v>
      </c>
      <c r="C2">
        <v>2</v>
      </c>
      <c r="D2">
        <v>46</v>
      </c>
      <c r="E2">
        <v>1006</v>
      </c>
      <c r="F2">
        <v>98.7</v>
      </c>
      <c r="G2" t="s">
        <v>9</v>
      </c>
      <c r="H2">
        <f>D2/E2</f>
        <v>4.5725646123260438E-2</v>
      </c>
      <c r="J2" t="s">
        <v>1229</v>
      </c>
      <c r="K2">
        <f>AVERAGE(F2:F31)</f>
        <v>93.033333333333331</v>
      </c>
      <c r="L2">
        <f>MIN(F2:F31)</f>
        <v>78.7</v>
      </c>
      <c r="M2">
        <f>MAX(F2:F31)</f>
        <v>98.9</v>
      </c>
      <c r="N2">
        <f>AVERAGE(H2:H31)</f>
        <v>4.7144145222527321E-2</v>
      </c>
    </row>
    <row r="3" spans="1:14" x14ac:dyDescent="0.3">
      <c r="A3" t="s">
        <v>566</v>
      </c>
      <c r="B3" t="s">
        <v>1</v>
      </c>
      <c r="C3">
        <v>2</v>
      </c>
      <c r="D3">
        <v>49</v>
      </c>
      <c r="E3">
        <v>1000</v>
      </c>
      <c r="F3">
        <v>78.7</v>
      </c>
      <c r="G3" t="s">
        <v>0</v>
      </c>
      <c r="H3">
        <f t="shared" ref="H3:H66" si="0">D3/E3</f>
        <v>4.9000000000000002E-2</v>
      </c>
      <c r="J3" t="s">
        <v>1230</v>
      </c>
      <c r="K3">
        <f>AVERAGE(F32:F61)</f>
        <v>75.626666666666651</v>
      </c>
      <c r="L3">
        <f>MIN(F32:F61)</f>
        <v>45.4</v>
      </c>
      <c r="M3">
        <f>MAX(F32:F61)</f>
        <v>95.6</v>
      </c>
      <c r="N3">
        <f>AVERAGE(H32:H61)</f>
        <v>6.8903178296068929E-2</v>
      </c>
    </row>
    <row r="4" spans="1:14" x14ac:dyDescent="0.3">
      <c r="A4" t="s">
        <v>526</v>
      </c>
      <c r="B4" t="s">
        <v>1</v>
      </c>
      <c r="C4">
        <v>2</v>
      </c>
      <c r="D4">
        <v>44</v>
      </c>
      <c r="E4">
        <v>1001</v>
      </c>
      <c r="F4">
        <v>93.8</v>
      </c>
      <c r="G4" t="s">
        <v>9</v>
      </c>
      <c r="H4">
        <f t="shared" si="0"/>
        <v>4.3956043956043959E-2</v>
      </c>
      <c r="J4" t="s">
        <v>1231</v>
      </c>
      <c r="K4">
        <f>AVERAGE(F62:F91)</f>
        <v>57.553333333333327</v>
      </c>
      <c r="L4">
        <f>MIN(F62:F91)</f>
        <v>38</v>
      </c>
      <c r="M4">
        <f>MAX(F62:F91)</f>
        <v>96.4</v>
      </c>
      <c r="N4">
        <f>AVERAGE(H62:H91)</f>
        <v>9.0028751018558187E-2</v>
      </c>
    </row>
    <row r="5" spans="1:14" x14ac:dyDescent="0.3">
      <c r="A5" t="s">
        <v>610</v>
      </c>
      <c r="B5" t="s">
        <v>1</v>
      </c>
      <c r="C5">
        <v>2</v>
      </c>
      <c r="D5">
        <v>48</v>
      </c>
      <c r="E5">
        <v>1000</v>
      </c>
      <c r="F5">
        <v>84.1</v>
      </c>
      <c r="G5" t="s">
        <v>9</v>
      </c>
      <c r="H5">
        <f t="shared" si="0"/>
        <v>4.8000000000000001E-2</v>
      </c>
      <c r="J5" t="s">
        <v>1232</v>
      </c>
      <c r="K5">
        <f>AVERAGE(F92:F121)</f>
        <v>50.01666666666668</v>
      </c>
      <c r="L5">
        <f>MIN(F92:F121)</f>
        <v>36.5</v>
      </c>
      <c r="M5">
        <f>MAX(F92:F121)</f>
        <v>73.5</v>
      </c>
      <c r="N5">
        <f>AVERAGE(H92:H121)</f>
        <v>0.11029155755223015</v>
      </c>
    </row>
    <row r="6" spans="1:14" x14ac:dyDescent="0.3">
      <c r="A6" t="s">
        <v>570</v>
      </c>
      <c r="B6" t="s">
        <v>1</v>
      </c>
      <c r="C6">
        <v>2</v>
      </c>
      <c r="D6">
        <v>49</v>
      </c>
      <c r="E6">
        <v>1001</v>
      </c>
      <c r="F6">
        <v>97.2</v>
      </c>
      <c r="G6" t="s">
        <v>9</v>
      </c>
      <c r="H6">
        <f t="shared" si="0"/>
        <v>4.8951048951048952E-2</v>
      </c>
    </row>
    <row r="7" spans="1:14" x14ac:dyDescent="0.3">
      <c r="A7" t="s">
        <v>530</v>
      </c>
      <c r="B7" t="s">
        <v>1</v>
      </c>
      <c r="C7">
        <v>2</v>
      </c>
      <c r="D7">
        <v>46</v>
      </c>
      <c r="E7">
        <v>1000</v>
      </c>
      <c r="F7">
        <v>95</v>
      </c>
      <c r="G7" t="s">
        <v>9</v>
      </c>
      <c r="H7">
        <f t="shared" si="0"/>
        <v>4.5999999999999999E-2</v>
      </c>
    </row>
    <row r="8" spans="1:14" x14ac:dyDescent="0.3">
      <c r="A8" t="s">
        <v>602</v>
      </c>
      <c r="B8" t="s">
        <v>1</v>
      </c>
      <c r="C8">
        <v>2</v>
      </c>
      <c r="D8">
        <v>48</v>
      </c>
      <c r="E8">
        <v>1000</v>
      </c>
      <c r="F8">
        <v>89.6</v>
      </c>
      <c r="G8" t="s">
        <v>9</v>
      </c>
      <c r="H8">
        <f t="shared" si="0"/>
        <v>4.8000000000000001E-2</v>
      </c>
    </row>
    <row r="9" spans="1:14" x14ac:dyDescent="0.3">
      <c r="A9" t="s">
        <v>562</v>
      </c>
      <c r="B9" t="s">
        <v>1</v>
      </c>
      <c r="C9">
        <v>2</v>
      </c>
      <c r="D9">
        <v>48</v>
      </c>
      <c r="E9">
        <v>998</v>
      </c>
      <c r="F9">
        <v>93.4</v>
      </c>
      <c r="G9" t="s">
        <v>9</v>
      </c>
      <c r="H9">
        <f t="shared" si="0"/>
        <v>4.8096192384769539E-2</v>
      </c>
    </row>
    <row r="10" spans="1:14" x14ac:dyDescent="0.3">
      <c r="A10" t="s">
        <v>522</v>
      </c>
      <c r="B10" t="s">
        <v>1</v>
      </c>
      <c r="C10">
        <v>2</v>
      </c>
      <c r="D10">
        <v>47</v>
      </c>
      <c r="E10">
        <v>1000</v>
      </c>
      <c r="F10">
        <v>97.5</v>
      </c>
      <c r="G10" t="s">
        <v>9</v>
      </c>
      <c r="H10">
        <f t="shared" si="0"/>
        <v>4.7E-2</v>
      </c>
    </row>
    <row r="11" spans="1:14" x14ac:dyDescent="0.3">
      <c r="A11" t="s">
        <v>598</v>
      </c>
      <c r="B11" t="s">
        <v>1</v>
      </c>
      <c r="C11">
        <v>2</v>
      </c>
      <c r="D11">
        <v>46</v>
      </c>
      <c r="E11">
        <v>1002</v>
      </c>
      <c r="F11">
        <v>98.9</v>
      </c>
      <c r="G11" t="s">
        <v>9</v>
      </c>
      <c r="H11">
        <f t="shared" si="0"/>
        <v>4.590818363273453E-2</v>
      </c>
    </row>
    <row r="12" spans="1:14" x14ac:dyDescent="0.3">
      <c r="A12" t="s">
        <v>558</v>
      </c>
      <c r="B12" t="s">
        <v>1</v>
      </c>
      <c r="C12">
        <v>2</v>
      </c>
      <c r="D12">
        <v>48</v>
      </c>
      <c r="E12">
        <v>1000</v>
      </c>
      <c r="F12">
        <v>92.6</v>
      </c>
      <c r="G12" t="s">
        <v>9</v>
      </c>
      <c r="H12">
        <f t="shared" si="0"/>
        <v>4.8000000000000001E-2</v>
      </c>
    </row>
    <row r="13" spans="1:14" x14ac:dyDescent="0.3">
      <c r="A13" t="s">
        <v>518</v>
      </c>
      <c r="B13" t="s">
        <v>1</v>
      </c>
      <c r="C13">
        <v>2</v>
      </c>
      <c r="D13">
        <v>47</v>
      </c>
      <c r="E13">
        <v>1000</v>
      </c>
      <c r="F13">
        <v>92.8</v>
      </c>
      <c r="G13" t="s">
        <v>9</v>
      </c>
      <c r="H13">
        <f t="shared" si="0"/>
        <v>4.7E-2</v>
      </c>
    </row>
    <row r="14" spans="1:14" x14ac:dyDescent="0.3">
      <c r="A14" t="s">
        <v>594</v>
      </c>
      <c r="B14" t="s">
        <v>1</v>
      </c>
      <c r="C14">
        <v>2</v>
      </c>
      <c r="D14">
        <v>46</v>
      </c>
      <c r="E14">
        <v>1003</v>
      </c>
      <c r="F14">
        <v>97.1</v>
      </c>
      <c r="G14" t="s">
        <v>9</v>
      </c>
      <c r="H14">
        <f t="shared" si="0"/>
        <v>4.5862412761714856E-2</v>
      </c>
    </row>
    <row r="15" spans="1:14" x14ac:dyDescent="0.3">
      <c r="A15" t="s">
        <v>554</v>
      </c>
      <c r="B15" t="s">
        <v>1</v>
      </c>
      <c r="C15">
        <v>2</v>
      </c>
      <c r="D15">
        <v>50</v>
      </c>
      <c r="E15">
        <v>1003</v>
      </c>
      <c r="F15">
        <v>91.9</v>
      </c>
      <c r="G15" t="s">
        <v>9</v>
      </c>
      <c r="H15">
        <f t="shared" si="0"/>
        <v>4.9850448654037885E-2</v>
      </c>
    </row>
    <row r="16" spans="1:14" x14ac:dyDescent="0.3">
      <c r="A16" t="s">
        <v>514</v>
      </c>
      <c r="B16" t="s">
        <v>1</v>
      </c>
      <c r="C16">
        <v>2</v>
      </c>
      <c r="D16">
        <v>48</v>
      </c>
      <c r="E16">
        <v>1004</v>
      </c>
      <c r="F16">
        <v>91.8</v>
      </c>
      <c r="G16" t="s">
        <v>9</v>
      </c>
      <c r="H16">
        <f t="shared" si="0"/>
        <v>4.7808764940239043E-2</v>
      </c>
    </row>
    <row r="17" spans="1:8" x14ac:dyDescent="0.3">
      <c r="A17" t="s">
        <v>590</v>
      </c>
      <c r="B17" t="s">
        <v>1</v>
      </c>
      <c r="C17">
        <v>2</v>
      </c>
      <c r="D17">
        <v>48</v>
      </c>
      <c r="E17">
        <v>1001</v>
      </c>
      <c r="F17">
        <v>92</v>
      </c>
      <c r="G17" t="s">
        <v>9</v>
      </c>
      <c r="H17">
        <f t="shared" si="0"/>
        <v>4.7952047952047952E-2</v>
      </c>
    </row>
    <row r="18" spans="1:8" x14ac:dyDescent="0.3">
      <c r="A18" t="s">
        <v>550</v>
      </c>
      <c r="B18" t="s">
        <v>1</v>
      </c>
      <c r="C18">
        <v>2</v>
      </c>
      <c r="D18">
        <v>46</v>
      </c>
      <c r="E18">
        <v>1001</v>
      </c>
      <c r="F18">
        <v>89.7</v>
      </c>
      <c r="G18" t="s">
        <v>9</v>
      </c>
      <c r="H18">
        <f t="shared" si="0"/>
        <v>4.5954045954045952E-2</v>
      </c>
    </row>
    <row r="19" spans="1:8" x14ac:dyDescent="0.3">
      <c r="A19" t="s">
        <v>510</v>
      </c>
      <c r="B19" t="s">
        <v>1</v>
      </c>
      <c r="C19">
        <v>2</v>
      </c>
      <c r="D19">
        <v>50</v>
      </c>
      <c r="E19">
        <v>1002</v>
      </c>
      <c r="F19">
        <v>95.2</v>
      </c>
      <c r="G19" t="s">
        <v>9</v>
      </c>
      <c r="H19">
        <f t="shared" si="0"/>
        <v>4.9900199600798403E-2</v>
      </c>
    </row>
    <row r="20" spans="1:8" x14ac:dyDescent="0.3">
      <c r="A20" t="s">
        <v>586</v>
      </c>
      <c r="B20" t="s">
        <v>1</v>
      </c>
      <c r="C20">
        <v>2</v>
      </c>
      <c r="D20">
        <v>45</v>
      </c>
      <c r="E20">
        <v>1005</v>
      </c>
      <c r="F20">
        <v>94.9</v>
      </c>
      <c r="G20" t="s">
        <v>9</v>
      </c>
      <c r="H20">
        <f t="shared" si="0"/>
        <v>4.4776119402985072E-2</v>
      </c>
    </row>
    <row r="21" spans="1:8" x14ac:dyDescent="0.3">
      <c r="A21" t="s">
        <v>546</v>
      </c>
      <c r="B21" t="s">
        <v>1</v>
      </c>
      <c r="C21">
        <v>2</v>
      </c>
      <c r="D21">
        <v>47</v>
      </c>
      <c r="E21">
        <v>1000</v>
      </c>
      <c r="F21">
        <v>89.5</v>
      </c>
      <c r="G21" t="s">
        <v>9</v>
      </c>
      <c r="H21">
        <f t="shared" si="0"/>
        <v>4.7E-2</v>
      </c>
    </row>
    <row r="22" spans="1:8" x14ac:dyDescent="0.3">
      <c r="A22" t="s">
        <v>506</v>
      </c>
      <c r="B22" t="s">
        <v>1</v>
      </c>
      <c r="C22">
        <v>2</v>
      </c>
      <c r="D22">
        <v>50</v>
      </c>
      <c r="E22">
        <v>1010</v>
      </c>
      <c r="F22">
        <v>96.8</v>
      </c>
      <c r="G22" t="s">
        <v>9</v>
      </c>
      <c r="H22">
        <f t="shared" si="0"/>
        <v>4.9504950495049507E-2</v>
      </c>
    </row>
    <row r="23" spans="1:8" x14ac:dyDescent="0.3">
      <c r="A23" t="s">
        <v>582</v>
      </c>
      <c r="B23" t="s">
        <v>1</v>
      </c>
      <c r="C23">
        <v>2</v>
      </c>
      <c r="D23">
        <v>44</v>
      </c>
      <c r="E23">
        <v>1001</v>
      </c>
      <c r="F23">
        <v>93.7</v>
      </c>
      <c r="G23" t="s">
        <v>9</v>
      </c>
      <c r="H23">
        <f t="shared" si="0"/>
        <v>4.3956043956043959E-2</v>
      </c>
    </row>
    <row r="24" spans="1:8" x14ac:dyDescent="0.3">
      <c r="A24" t="s">
        <v>542</v>
      </c>
      <c r="B24" t="s">
        <v>1</v>
      </c>
      <c r="C24">
        <v>2</v>
      </c>
      <c r="D24">
        <v>48</v>
      </c>
      <c r="E24">
        <v>1000</v>
      </c>
      <c r="F24">
        <v>96</v>
      </c>
      <c r="G24" t="s">
        <v>9</v>
      </c>
      <c r="H24">
        <f t="shared" si="0"/>
        <v>4.8000000000000001E-2</v>
      </c>
    </row>
    <row r="25" spans="1:8" x14ac:dyDescent="0.3">
      <c r="A25" t="s">
        <v>502</v>
      </c>
      <c r="B25" t="s">
        <v>1</v>
      </c>
      <c r="C25">
        <v>2</v>
      </c>
      <c r="D25">
        <v>47</v>
      </c>
      <c r="E25">
        <v>1006</v>
      </c>
      <c r="F25">
        <v>87.8</v>
      </c>
      <c r="G25" t="s">
        <v>9</v>
      </c>
      <c r="H25">
        <f t="shared" si="0"/>
        <v>4.6719681908548708E-2</v>
      </c>
    </row>
    <row r="26" spans="1:8" x14ac:dyDescent="0.3">
      <c r="A26" t="s">
        <v>578</v>
      </c>
      <c r="B26" t="s">
        <v>1</v>
      </c>
      <c r="C26">
        <v>2</v>
      </c>
      <c r="D26">
        <v>46</v>
      </c>
      <c r="E26">
        <v>1000</v>
      </c>
      <c r="F26">
        <v>95.6</v>
      </c>
      <c r="G26" t="s">
        <v>9</v>
      </c>
      <c r="H26">
        <f t="shared" si="0"/>
        <v>4.5999999999999999E-2</v>
      </c>
    </row>
    <row r="27" spans="1:8" x14ac:dyDescent="0.3">
      <c r="A27" t="s">
        <v>538</v>
      </c>
      <c r="B27" t="s">
        <v>1</v>
      </c>
      <c r="C27">
        <v>2</v>
      </c>
      <c r="D27">
        <v>46</v>
      </c>
      <c r="E27">
        <v>1008</v>
      </c>
      <c r="F27">
        <v>97.5</v>
      </c>
      <c r="G27" t="s">
        <v>9</v>
      </c>
      <c r="H27">
        <f t="shared" si="0"/>
        <v>4.5634920634920632E-2</v>
      </c>
    </row>
    <row r="28" spans="1:8" x14ac:dyDescent="0.3">
      <c r="A28" t="s">
        <v>498</v>
      </c>
      <c r="B28" t="s">
        <v>1</v>
      </c>
      <c r="C28">
        <v>2</v>
      </c>
      <c r="D28">
        <v>48</v>
      </c>
      <c r="E28">
        <v>1000</v>
      </c>
      <c r="F28">
        <v>95.5</v>
      </c>
      <c r="G28" t="s">
        <v>9</v>
      </c>
      <c r="H28">
        <f t="shared" si="0"/>
        <v>4.8000000000000001E-2</v>
      </c>
    </row>
    <row r="29" spans="1:8" x14ac:dyDescent="0.3">
      <c r="A29" t="s">
        <v>574</v>
      </c>
      <c r="B29" t="s">
        <v>1</v>
      </c>
      <c r="C29">
        <v>2</v>
      </c>
      <c r="D29">
        <v>49</v>
      </c>
      <c r="E29">
        <v>1000</v>
      </c>
      <c r="F29">
        <v>81.2</v>
      </c>
      <c r="G29" t="s">
        <v>9</v>
      </c>
      <c r="H29">
        <f t="shared" si="0"/>
        <v>4.9000000000000002E-2</v>
      </c>
    </row>
    <row r="30" spans="1:8" x14ac:dyDescent="0.3">
      <c r="A30" t="s">
        <v>534</v>
      </c>
      <c r="B30" t="s">
        <v>1</v>
      </c>
      <c r="C30">
        <v>2</v>
      </c>
      <c r="D30">
        <v>46</v>
      </c>
      <c r="E30">
        <v>1002</v>
      </c>
      <c r="F30">
        <v>97.2</v>
      </c>
      <c r="G30" t="s">
        <v>9</v>
      </c>
      <c r="H30">
        <f t="shared" si="0"/>
        <v>4.590818363273453E-2</v>
      </c>
    </row>
    <row r="31" spans="1:8" x14ac:dyDescent="0.3">
      <c r="A31" t="s">
        <v>494</v>
      </c>
      <c r="B31" t="s">
        <v>1</v>
      </c>
      <c r="C31">
        <v>2</v>
      </c>
      <c r="D31">
        <v>47</v>
      </c>
      <c r="E31">
        <v>1003</v>
      </c>
      <c r="F31">
        <v>95.3</v>
      </c>
      <c r="G31" t="s">
        <v>9</v>
      </c>
      <c r="H31">
        <f t="shared" si="0"/>
        <v>4.6859421734795612E-2</v>
      </c>
    </row>
    <row r="32" spans="1:8" x14ac:dyDescent="0.3">
      <c r="A32" t="s">
        <v>605</v>
      </c>
      <c r="B32" t="s">
        <v>1</v>
      </c>
      <c r="C32">
        <v>3</v>
      </c>
      <c r="D32">
        <v>68</v>
      </c>
      <c r="E32">
        <v>1006</v>
      </c>
      <c r="F32">
        <v>88</v>
      </c>
      <c r="G32" t="s">
        <v>9</v>
      </c>
      <c r="H32">
        <f t="shared" si="0"/>
        <v>6.7594433399602388E-2</v>
      </c>
    </row>
    <row r="33" spans="1:8" x14ac:dyDescent="0.3">
      <c r="A33" t="s">
        <v>565</v>
      </c>
      <c r="B33" t="s">
        <v>1</v>
      </c>
      <c r="C33">
        <v>3</v>
      </c>
      <c r="D33">
        <v>71</v>
      </c>
      <c r="E33">
        <v>1000</v>
      </c>
      <c r="F33">
        <v>75.900000000000006</v>
      </c>
      <c r="G33" t="s">
        <v>0</v>
      </c>
      <c r="H33">
        <f t="shared" si="0"/>
        <v>7.0999999999999994E-2</v>
      </c>
    </row>
    <row r="34" spans="1:8" x14ac:dyDescent="0.3">
      <c r="A34" t="s">
        <v>525</v>
      </c>
      <c r="B34" t="s">
        <v>1</v>
      </c>
      <c r="C34">
        <v>3</v>
      </c>
      <c r="D34">
        <v>65</v>
      </c>
      <c r="E34">
        <v>1001</v>
      </c>
      <c r="F34">
        <v>94.8</v>
      </c>
      <c r="G34" t="s">
        <v>9</v>
      </c>
      <c r="H34">
        <f t="shared" si="0"/>
        <v>6.4935064935064929E-2</v>
      </c>
    </row>
    <row r="35" spans="1:8" x14ac:dyDescent="0.3">
      <c r="A35" t="s">
        <v>609</v>
      </c>
      <c r="B35" t="s">
        <v>1</v>
      </c>
      <c r="C35">
        <v>3</v>
      </c>
      <c r="D35">
        <v>71</v>
      </c>
      <c r="E35">
        <v>1000</v>
      </c>
      <c r="F35">
        <v>76.5</v>
      </c>
      <c r="G35" t="s">
        <v>0</v>
      </c>
      <c r="H35">
        <f t="shared" si="0"/>
        <v>7.0999999999999994E-2</v>
      </c>
    </row>
    <row r="36" spans="1:8" x14ac:dyDescent="0.3">
      <c r="A36" t="s">
        <v>569</v>
      </c>
      <c r="B36" t="s">
        <v>1</v>
      </c>
      <c r="C36">
        <v>3</v>
      </c>
      <c r="D36">
        <v>71</v>
      </c>
      <c r="E36">
        <v>1001</v>
      </c>
      <c r="F36">
        <v>91.5</v>
      </c>
      <c r="G36" t="s">
        <v>9</v>
      </c>
      <c r="H36">
        <f t="shared" si="0"/>
        <v>7.0929070929070928E-2</v>
      </c>
    </row>
    <row r="37" spans="1:8" x14ac:dyDescent="0.3">
      <c r="A37" t="s">
        <v>529</v>
      </c>
      <c r="B37" t="s">
        <v>1</v>
      </c>
      <c r="C37">
        <v>3</v>
      </c>
      <c r="D37">
        <v>68</v>
      </c>
      <c r="E37">
        <v>1000</v>
      </c>
      <c r="F37">
        <v>91.4</v>
      </c>
      <c r="G37" t="s">
        <v>9</v>
      </c>
      <c r="H37">
        <f t="shared" si="0"/>
        <v>6.8000000000000005E-2</v>
      </c>
    </row>
    <row r="38" spans="1:8" x14ac:dyDescent="0.3">
      <c r="A38" t="s">
        <v>601</v>
      </c>
      <c r="B38" t="s">
        <v>1</v>
      </c>
      <c r="C38">
        <v>3</v>
      </c>
      <c r="D38">
        <v>69</v>
      </c>
      <c r="E38">
        <v>1000</v>
      </c>
      <c r="F38">
        <v>61.6</v>
      </c>
      <c r="G38" t="s">
        <v>0</v>
      </c>
      <c r="H38">
        <f t="shared" si="0"/>
        <v>6.9000000000000006E-2</v>
      </c>
    </row>
    <row r="39" spans="1:8" x14ac:dyDescent="0.3">
      <c r="A39" t="s">
        <v>561</v>
      </c>
      <c r="B39" t="s">
        <v>1</v>
      </c>
      <c r="C39">
        <v>3</v>
      </c>
      <c r="D39">
        <v>70</v>
      </c>
      <c r="E39">
        <v>998</v>
      </c>
      <c r="F39">
        <v>87.7</v>
      </c>
      <c r="G39" t="s">
        <v>9</v>
      </c>
      <c r="H39">
        <f t="shared" si="0"/>
        <v>7.0140280561122245E-2</v>
      </c>
    </row>
    <row r="40" spans="1:8" x14ac:dyDescent="0.3">
      <c r="A40" t="s">
        <v>521</v>
      </c>
      <c r="B40" t="s">
        <v>1</v>
      </c>
      <c r="C40">
        <v>3</v>
      </c>
      <c r="D40">
        <v>69</v>
      </c>
      <c r="E40">
        <v>1000</v>
      </c>
      <c r="F40">
        <v>75.2</v>
      </c>
      <c r="G40" t="s">
        <v>0</v>
      </c>
      <c r="H40">
        <f t="shared" si="0"/>
        <v>6.9000000000000006E-2</v>
      </c>
    </row>
    <row r="41" spans="1:8" x14ac:dyDescent="0.3">
      <c r="A41" t="s">
        <v>597</v>
      </c>
      <c r="B41" t="s">
        <v>1</v>
      </c>
      <c r="C41">
        <v>3</v>
      </c>
      <c r="D41">
        <v>68</v>
      </c>
      <c r="E41">
        <v>1002</v>
      </c>
      <c r="F41">
        <v>63</v>
      </c>
      <c r="G41" t="s">
        <v>0</v>
      </c>
      <c r="H41">
        <f t="shared" si="0"/>
        <v>6.7864271457085831E-2</v>
      </c>
    </row>
    <row r="42" spans="1:8" x14ac:dyDescent="0.3">
      <c r="A42" t="s">
        <v>557</v>
      </c>
      <c r="B42" t="s">
        <v>1</v>
      </c>
      <c r="C42">
        <v>3</v>
      </c>
      <c r="D42">
        <v>71</v>
      </c>
      <c r="E42">
        <v>1000</v>
      </c>
      <c r="F42">
        <v>75.5</v>
      </c>
      <c r="G42" t="s">
        <v>0</v>
      </c>
      <c r="H42">
        <f t="shared" si="0"/>
        <v>7.0999999999999994E-2</v>
      </c>
    </row>
    <row r="43" spans="1:8" x14ac:dyDescent="0.3">
      <c r="A43" t="s">
        <v>517</v>
      </c>
      <c r="B43" t="s">
        <v>1</v>
      </c>
      <c r="C43">
        <v>3</v>
      </c>
      <c r="D43">
        <v>69</v>
      </c>
      <c r="E43">
        <v>1000</v>
      </c>
      <c r="F43">
        <v>61</v>
      </c>
      <c r="G43" t="s">
        <v>0</v>
      </c>
      <c r="H43">
        <f t="shared" si="0"/>
        <v>6.9000000000000006E-2</v>
      </c>
    </row>
    <row r="44" spans="1:8" x14ac:dyDescent="0.3">
      <c r="A44" t="s">
        <v>593</v>
      </c>
      <c r="B44" t="s">
        <v>1</v>
      </c>
      <c r="C44">
        <v>3</v>
      </c>
      <c r="D44">
        <v>67</v>
      </c>
      <c r="E44">
        <v>1003</v>
      </c>
      <c r="F44">
        <v>89.5</v>
      </c>
      <c r="G44" t="s">
        <v>9</v>
      </c>
      <c r="H44">
        <f t="shared" si="0"/>
        <v>6.6799601196410763E-2</v>
      </c>
    </row>
    <row r="45" spans="1:8" x14ac:dyDescent="0.3">
      <c r="A45" t="s">
        <v>553</v>
      </c>
      <c r="B45" t="s">
        <v>1</v>
      </c>
      <c r="C45">
        <v>3</v>
      </c>
      <c r="D45">
        <v>72</v>
      </c>
      <c r="E45">
        <v>1003</v>
      </c>
      <c r="F45">
        <v>59.3</v>
      </c>
      <c r="G45" t="s">
        <v>0</v>
      </c>
      <c r="H45">
        <f t="shared" si="0"/>
        <v>7.1784646061814561E-2</v>
      </c>
    </row>
    <row r="46" spans="1:8" x14ac:dyDescent="0.3">
      <c r="A46" t="s">
        <v>513</v>
      </c>
      <c r="B46" t="s">
        <v>1</v>
      </c>
      <c r="C46">
        <v>3</v>
      </c>
      <c r="D46">
        <v>71</v>
      </c>
      <c r="E46">
        <v>1004</v>
      </c>
      <c r="F46">
        <v>53.1</v>
      </c>
      <c r="G46" t="s">
        <v>0</v>
      </c>
      <c r="H46">
        <f t="shared" si="0"/>
        <v>7.0717131474103592E-2</v>
      </c>
    </row>
    <row r="47" spans="1:8" x14ac:dyDescent="0.3">
      <c r="A47" t="s">
        <v>589</v>
      </c>
      <c r="B47" t="s">
        <v>1</v>
      </c>
      <c r="C47">
        <v>3</v>
      </c>
      <c r="D47">
        <v>71</v>
      </c>
      <c r="E47">
        <v>1001</v>
      </c>
      <c r="F47">
        <v>45.4</v>
      </c>
      <c r="G47" t="s">
        <v>0</v>
      </c>
      <c r="H47">
        <f t="shared" si="0"/>
        <v>7.0929070929070928E-2</v>
      </c>
    </row>
    <row r="48" spans="1:8" x14ac:dyDescent="0.3">
      <c r="A48" t="s">
        <v>549</v>
      </c>
      <c r="B48" t="s">
        <v>1</v>
      </c>
      <c r="C48">
        <v>3</v>
      </c>
      <c r="D48">
        <v>68</v>
      </c>
      <c r="E48">
        <v>1001</v>
      </c>
      <c r="F48">
        <v>64.599999999999994</v>
      </c>
      <c r="G48" t="s">
        <v>0</v>
      </c>
      <c r="H48">
        <f t="shared" si="0"/>
        <v>6.7932067932067935E-2</v>
      </c>
    </row>
    <row r="49" spans="1:8" x14ac:dyDescent="0.3">
      <c r="A49" t="s">
        <v>509</v>
      </c>
      <c r="B49" t="s">
        <v>1</v>
      </c>
      <c r="C49">
        <v>3</v>
      </c>
      <c r="D49">
        <v>68</v>
      </c>
      <c r="E49">
        <v>1002</v>
      </c>
      <c r="F49">
        <v>57.7</v>
      </c>
      <c r="G49" t="s">
        <v>0</v>
      </c>
      <c r="H49">
        <f t="shared" si="0"/>
        <v>6.7864271457085831E-2</v>
      </c>
    </row>
    <row r="50" spans="1:8" x14ac:dyDescent="0.3">
      <c r="A50" t="s">
        <v>585</v>
      </c>
      <c r="B50" t="s">
        <v>1</v>
      </c>
      <c r="C50">
        <v>3</v>
      </c>
      <c r="D50">
        <v>67</v>
      </c>
      <c r="E50">
        <v>1005</v>
      </c>
      <c r="F50">
        <v>84.7</v>
      </c>
      <c r="G50" t="s">
        <v>9</v>
      </c>
      <c r="H50">
        <f t="shared" si="0"/>
        <v>6.6666666666666666E-2</v>
      </c>
    </row>
    <row r="51" spans="1:8" x14ac:dyDescent="0.3">
      <c r="A51" t="s">
        <v>545</v>
      </c>
      <c r="B51" t="s">
        <v>1</v>
      </c>
      <c r="C51">
        <v>3</v>
      </c>
      <c r="D51">
        <v>69</v>
      </c>
      <c r="E51">
        <v>1000</v>
      </c>
      <c r="F51">
        <v>74.099999999999994</v>
      </c>
      <c r="G51" t="s">
        <v>0</v>
      </c>
      <c r="H51">
        <f t="shared" si="0"/>
        <v>6.9000000000000006E-2</v>
      </c>
    </row>
    <row r="52" spans="1:8" x14ac:dyDescent="0.3">
      <c r="A52" t="s">
        <v>505</v>
      </c>
      <c r="B52" t="s">
        <v>1</v>
      </c>
      <c r="C52">
        <v>3</v>
      </c>
      <c r="D52">
        <v>71</v>
      </c>
      <c r="E52">
        <v>1010</v>
      </c>
      <c r="F52">
        <v>63.7</v>
      </c>
      <c r="G52" t="s">
        <v>0</v>
      </c>
      <c r="H52">
        <f t="shared" si="0"/>
        <v>7.0297029702970304E-2</v>
      </c>
    </row>
    <row r="53" spans="1:8" x14ac:dyDescent="0.3">
      <c r="A53" t="s">
        <v>581</v>
      </c>
      <c r="B53" t="s">
        <v>1</v>
      </c>
      <c r="C53">
        <v>3</v>
      </c>
      <c r="D53">
        <v>65</v>
      </c>
      <c r="E53">
        <v>1001</v>
      </c>
      <c r="F53">
        <v>92.2</v>
      </c>
      <c r="G53" t="s">
        <v>9</v>
      </c>
      <c r="H53">
        <f t="shared" si="0"/>
        <v>6.4935064935064929E-2</v>
      </c>
    </row>
    <row r="54" spans="1:8" x14ac:dyDescent="0.3">
      <c r="A54" t="s">
        <v>541</v>
      </c>
      <c r="B54" t="s">
        <v>1</v>
      </c>
      <c r="C54">
        <v>3</v>
      </c>
      <c r="D54">
        <v>70</v>
      </c>
      <c r="E54">
        <v>1000</v>
      </c>
      <c r="F54">
        <v>55.6</v>
      </c>
      <c r="G54" t="s">
        <v>0</v>
      </c>
      <c r="H54">
        <f t="shared" si="0"/>
        <v>7.0000000000000007E-2</v>
      </c>
    </row>
    <row r="55" spans="1:8" x14ac:dyDescent="0.3">
      <c r="A55" t="s">
        <v>501</v>
      </c>
      <c r="B55" t="s">
        <v>1</v>
      </c>
      <c r="C55">
        <v>3</v>
      </c>
      <c r="D55">
        <v>69</v>
      </c>
      <c r="E55">
        <v>1006</v>
      </c>
      <c r="F55">
        <v>69.5</v>
      </c>
      <c r="G55" t="s">
        <v>0</v>
      </c>
      <c r="H55">
        <f t="shared" si="0"/>
        <v>6.8588469184890657E-2</v>
      </c>
    </row>
    <row r="56" spans="1:8" x14ac:dyDescent="0.3">
      <c r="A56" t="s">
        <v>577</v>
      </c>
      <c r="B56" t="s">
        <v>1</v>
      </c>
      <c r="C56">
        <v>3</v>
      </c>
      <c r="D56">
        <v>66</v>
      </c>
      <c r="E56">
        <v>1000</v>
      </c>
      <c r="F56">
        <v>87.1</v>
      </c>
      <c r="G56" t="s">
        <v>9</v>
      </c>
      <c r="H56">
        <f t="shared" si="0"/>
        <v>6.6000000000000003E-2</v>
      </c>
    </row>
    <row r="57" spans="1:8" x14ac:dyDescent="0.3">
      <c r="A57" t="s">
        <v>537</v>
      </c>
      <c r="B57" t="s">
        <v>1</v>
      </c>
      <c r="C57">
        <v>3</v>
      </c>
      <c r="D57">
        <v>68</v>
      </c>
      <c r="E57">
        <v>1008</v>
      </c>
      <c r="F57">
        <v>84</v>
      </c>
      <c r="G57" t="s">
        <v>9</v>
      </c>
      <c r="H57">
        <f t="shared" si="0"/>
        <v>6.7460317460317457E-2</v>
      </c>
    </row>
    <row r="58" spans="1:8" x14ac:dyDescent="0.3">
      <c r="A58" t="s">
        <v>497</v>
      </c>
      <c r="B58" t="s">
        <v>1</v>
      </c>
      <c r="C58">
        <v>3</v>
      </c>
      <c r="D58">
        <v>70</v>
      </c>
      <c r="E58">
        <v>1000</v>
      </c>
      <c r="F58">
        <v>90.8</v>
      </c>
      <c r="G58" t="s">
        <v>9</v>
      </c>
      <c r="H58">
        <f t="shared" si="0"/>
        <v>7.0000000000000007E-2</v>
      </c>
    </row>
    <row r="59" spans="1:8" x14ac:dyDescent="0.3">
      <c r="A59" t="s">
        <v>573</v>
      </c>
      <c r="B59" t="s">
        <v>1</v>
      </c>
      <c r="C59">
        <v>3</v>
      </c>
      <c r="D59">
        <v>72</v>
      </c>
      <c r="E59">
        <v>1000</v>
      </c>
      <c r="F59">
        <v>76.8</v>
      </c>
      <c r="G59" t="s">
        <v>0</v>
      </c>
      <c r="H59">
        <f t="shared" si="0"/>
        <v>7.1999999999999995E-2</v>
      </c>
    </row>
    <row r="60" spans="1:8" x14ac:dyDescent="0.3">
      <c r="A60" t="s">
        <v>533</v>
      </c>
      <c r="B60" t="s">
        <v>1</v>
      </c>
      <c r="C60">
        <v>3</v>
      </c>
      <c r="D60">
        <v>68</v>
      </c>
      <c r="E60">
        <v>1002</v>
      </c>
      <c r="F60">
        <v>95.6</v>
      </c>
      <c r="G60" t="s">
        <v>9</v>
      </c>
      <c r="H60">
        <f t="shared" si="0"/>
        <v>6.7864271457085831E-2</v>
      </c>
    </row>
    <row r="61" spans="1:8" x14ac:dyDescent="0.3">
      <c r="A61" t="s">
        <v>493</v>
      </c>
      <c r="B61" t="s">
        <v>1</v>
      </c>
      <c r="C61">
        <v>3</v>
      </c>
      <c r="D61">
        <v>69</v>
      </c>
      <c r="E61">
        <v>1003</v>
      </c>
      <c r="F61">
        <v>83</v>
      </c>
      <c r="G61" t="s">
        <v>9</v>
      </c>
      <c r="H61">
        <f t="shared" si="0"/>
        <v>6.8793619142572288E-2</v>
      </c>
    </row>
    <row r="62" spans="1:8" x14ac:dyDescent="0.3">
      <c r="A62" t="s">
        <v>604</v>
      </c>
      <c r="B62" t="s">
        <v>1</v>
      </c>
      <c r="C62">
        <v>4</v>
      </c>
      <c r="D62">
        <v>90</v>
      </c>
      <c r="E62">
        <v>1006</v>
      </c>
      <c r="F62">
        <v>75.900000000000006</v>
      </c>
      <c r="G62" t="s">
        <v>0</v>
      </c>
      <c r="H62">
        <f t="shared" si="0"/>
        <v>8.9463220675944338E-2</v>
      </c>
    </row>
    <row r="63" spans="1:8" x14ac:dyDescent="0.3">
      <c r="A63" t="s">
        <v>564</v>
      </c>
      <c r="B63" t="s">
        <v>1</v>
      </c>
      <c r="C63">
        <v>4</v>
      </c>
      <c r="D63">
        <v>92</v>
      </c>
      <c r="E63">
        <v>1000</v>
      </c>
      <c r="F63">
        <v>46.8</v>
      </c>
      <c r="G63" t="s">
        <v>0</v>
      </c>
      <c r="H63">
        <f t="shared" si="0"/>
        <v>9.1999999999999998E-2</v>
      </c>
    </row>
    <row r="64" spans="1:8" x14ac:dyDescent="0.3">
      <c r="A64" t="s">
        <v>524</v>
      </c>
      <c r="B64" t="s">
        <v>1</v>
      </c>
      <c r="C64">
        <v>4</v>
      </c>
      <c r="D64">
        <v>86</v>
      </c>
      <c r="E64">
        <v>1001</v>
      </c>
      <c r="F64">
        <v>66</v>
      </c>
      <c r="G64" t="s">
        <v>0</v>
      </c>
      <c r="H64">
        <f t="shared" si="0"/>
        <v>8.5914085914085919E-2</v>
      </c>
    </row>
    <row r="65" spans="1:8" x14ac:dyDescent="0.3">
      <c r="A65" t="s">
        <v>608</v>
      </c>
      <c r="B65" t="s">
        <v>1</v>
      </c>
      <c r="C65">
        <v>4</v>
      </c>
      <c r="D65">
        <v>92</v>
      </c>
      <c r="E65">
        <v>1000</v>
      </c>
      <c r="F65">
        <v>49.3</v>
      </c>
      <c r="G65" t="s">
        <v>0</v>
      </c>
      <c r="H65">
        <f t="shared" si="0"/>
        <v>9.1999999999999998E-2</v>
      </c>
    </row>
    <row r="66" spans="1:8" x14ac:dyDescent="0.3">
      <c r="A66" t="s">
        <v>568</v>
      </c>
      <c r="B66" t="s">
        <v>1</v>
      </c>
      <c r="C66">
        <v>4</v>
      </c>
      <c r="D66">
        <v>92</v>
      </c>
      <c r="E66">
        <v>1001</v>
      </c>
      <c r="F66">
        <v>87.3</v>
      </c>
      <c r="G66" t="s">
        <v>9</v>
      </c>
      <c r="H66">
        <f t="shared" si="0"/>
        <v>9.1908091908091905E-2</v>
      </c>
    </row>
    <row r="67" spans="1:8" x14ac:dyDescent="0.3">
      <c r="A67" t="s">
        <v>528</v>
      </c>
      <c r="B67" t="s">
        <v>1</v>
      </c>
      <c r="C67">
        <v>4</v>
      </c>
      <c r="D67">
        <v>87</v>
      </c>
      <c r="E67">
        <v>1000</v>
      </c>
      <c r="F67">
        <v>38</v>
      </c>
      <c r="G67" t="s">
        <v>0</v>
      </c>
      <c r="H67">
        <f t="shared" ref="H67:H121" si="1">D67/E67</f>
        <v>8.6999999999999994E-2</v>
      </c>
    </row>
    <row r="68" spans="1:8" x14ac:dyDescent="0.3">
      <c r="A68" t="s">
        <v>600</v>
      </c>
      <c r="B68" t="s">
        <v>1</v>
      </c>
      <c r="C68">
        <v>4</v>
      </c>
      <c r="D68">
        <v>92</v>
      </c>
      <c r="E68">
        <v>1000</v>
      </c>
      <c r="F68">
        <v>43.6</v>
      </c>
      <c r="G68" t="s">
        <v>0</v>
      </c>
      <c r="H68">
        <f t="shared" si="1"/>
        <v>9.1999999999999998E-2</v>
      </c>
    </row>
    <row r="69" spans="1:8" x14ac:dyDescent="0.3">
      <c r="A69" t="s">
        <v>560</v>
      </c>
      <c r="B69" t="s">
        <v>1</v>
      </c>
      <c r="C69">
        <v>4</v>
      </c>
      <c r="D69">
        <v>92</v>
      </c>
      <c r="E69">
        <v>998</v>
      </c>
      <c r="F69">
        <v>70.2</v>
      </c>
      <c r="G69" t="s">
        <v>0</v>
      </c>
      <c r="H69">
        <f t="shared" si="1"/>
        <v>9.2184368737474945E-2</v>
      </c>
    </row>
    <row r="70" spans="1:8" x14ac:dyDescent="0.3">
      <c r="A70" t="s">
        <v>520</v>
      </c>
      <c r="B70" t="s">
        <v>1</v>
      </c>
      <c r="C70">
        <v>4</v>
      </c>
      <c r="D70">
        <v>88</v>
      </c>
      <c r="E70">
        <v>1000</v>
      </c>
      <c r="F70">
        <v>54.1</v>
      </c>
      <c r="G70" t="s">
        <v>0</v>
      </c>
      <c r="H70">
        <f t="shared" si="1"/>
        <v>8.7999999999999995E-2</v>
      </c>
    </row>
    <row r="71" spans="1:8" x14ac:dyDescent="0.3">
      <c r="A71" t="s">
        <v>596</v>
      </c>
      <c r="B71" t="s">
        <v>1</v>
      </c>
      <c r="C71">
        <v>4</v>
      </c>
      <c r="D71">
        <v>89</v>
      </c>
      <c r="E71">
        <v>1002</v>
      </c>
      <c r="F71">
        <v>67.099999999999994</v>
      </c>
      <c r="G71" t="s">
        <v>0</v>
      </c>
      <c r="H71">
        <f t="shared" si="1"/>
        <v>8.8822355289421159E-2</v>
      </c>
    </row>
    <row r="72" spans="1:8" x14ac:dyDescent="0.3">
      <c r="A72" t="s">
        <v>556</v>
      </c>
      <c r="B72" t="s">
        <v>1</v>
      </c>
      <c r="C72">
        <v>4</v>
      </c>
      <c r="D72">
        <v>91</v>
      </c>
      <c r="E72">
        <v>1000</v>
      </c>
      <c r="F72">
        <v>67.8</v>
      </c>
      <c r="G72" t="s">
        <v>0</v>
      </c>
      <c r="H72">
        <f t="shared" si="1"/>
        <v>9.0999999999999998E-2</v>
      </c>
    </row>
    <row r="73" spans="1:8" x14ac:dyDescent="0.3">
      <c r="A73" t="s">
        <v>516</v>
      </c>
      <c r="B73" t="s">
        <v>1</v>
      </c>
      <c r="C73">
        <v>4</v>
      </c>
      <c r="D73">
        <v>90</v>
      </c>
      <c r="E73">
        <v>1000</v>
      </c>
      <c r="F73">
        <v>49.9</v>
      </c>
      <c r="G73" t="s">
        <v>0</v>
      </c>
      <c r="H73">
        <f t="shared" si="1"/>
        <v>0.09</v>
      </c>
    </row>
    <row r="74" spans="1:8" x14ac:dyDescent="0.3">
      <c r="A74" t="s">
        <v>592</v>
      </c>
      <c r="B74" t="s">
        <v>1</v>
      </c>
      <c r="C74">
        <v>4</v>
      </c>
      <c r="D74">
        <v>88</v>
      </c>
      <c r="E74">
        <v>1003</v>
      </c>
      <c r="F74">
        <v>49.8</v>
      </c>
      <c r="G74" t="s">
        <v>0</v>
      </c>
      <c r="H74">
        <f t="shared" si="1"/>
        <v>8.7736789631106676E-2</v>
      </c>
    </row>
    <row r="75" spans="1:8" x14ac:dyDescent="0.3">
      <c r="A75" t="s">
        <v>552</v>
      </c>
      <c r="B75" t="s">
        <v>1</v>
      </c>
      <c r="C75">
        <v>4</v>
      </c>
      <c r="D75">
        <v>94</v>
      </c>
      <c r="E75">
        <v>1003</v>
      </c>
      <c r="F75">
        <v>42.6</v>
      </c>
      <c r="G75" t="s">
        <v>0</v>
      </c>
      <c r="H75">
        <f t="shared" si="1"/>
        <v>9.3718843469591223E-2</v>
      </c>
    </row>
    <row r="76" spans="1:8" x14ac:dyDescent="0.3">
      <c r="A76" t="s">
        <v>512</v>
      </c>
      <c r="B76" t="s">
        <v>1</v>
      </c>
      <c r="C76">
        <v>4</v>
      </c>
      <c r="D76">
        <v>93</v>
      </c>
      <c r="E76">
        <v>1004</v>
      </c>
      <c r="F76">
        <v>39.200000000000003</v>
      </c>
      <c r="G76" t="s">
        <v>0</v>
      </c>
      <c r="H76">
        <f t="shared" si="1"/>
        <v>9.2629482071713148E-2</v>
      </c>
    </row>
    <row r="77" spans="1:8" x14ac:dyDescent="0.3">
      <c r="A77" t="s">
        <v>588</v>
      </c>
      <c r="B77" t="s">
        <v>1</v>
      </c>
      <c r="C77">
        <v>4</v>
      </c>
      <c r="D77">
        <v>90</v>
      </c>
      <c r="E77">
        <v>1001</v>
      </c>
      <c r="F77">
        <v>45.1</v>
      </c>
      <c r="G77" t="s">
        <v>0</v>
      </c>
      <c r="H77">
        <f t="shared" si="1"/>
        <v>8.9910089910089905E-2</v>
      </c>
    </row>
    <row r="78" spans="1:8" x14ac:dyDescent="0.3">
      <c r="A78" t="s">
        <v>548</v>
      </c>
      <c r="B78" t="s">
        <v>1</v>
      </c>
      <c r="C78">
        <v>4</v>
      </c>
      <c r="D78">
        <v>90</v>
      </c>
      <c r="E78">
        <v>1001</v>
      </c>
      <c r="F78">
        <v>62.9</v>
      </c>
      <c r="G78" t="s">
        <v>0</v>
      </c>
      <c r="H78">
        <f t="shared" si="1"/>
        <v>8.9910089910089905E-2</v>
      </c>
    </row>
    <row r="79" spans="1:8" x14ac:dyDescent="0.3">
      <c r="A79" t="s">
        <v>508</v>
      </c>
      <c r="B79" t="s">
        <v>1</v>
      </c>
      <c r="C79">
        <v>4</v>
      </c>
      <c r="D79">
        <v>92</v>
      </c>
      <c r="E79">
        <v>1002</v>
      </c>
      <c r="F79">
        <v>43.4</v>
      </c>
      <c r="G79" t="s">
        <v>0</v>
      </c>
      <c r="H79">
        <f t="shared" si="1"/>
        <v>9.1816367265469059E-2</v>
      </c>
    </row>
    <row r="80" spans="1:8" x14ac:dyDescent="0.3">
      <c r="A80" t="s">
        <v>584</v>
      </c>
      <c r="B80" t="s">
        <v>1</v>
      </c>
      <c r="C80">
        <v>4</v>
      </c>
      <c r="D80">
        <v>87</v>
      </c>
      <c r="E80">
        <v>1005</v>
      </c>
      <c r="F80">
        <v>48.5</v>
      </c>
      <c r="G80" t="s">
        <v>0</v>
      </c>
      <c r="H80">
        <f t="shared" si="1"/>
        <v>8.6567164179104483E-2</v>
      </c>
    </row>
    <row r="81" spans="1:8" x14ac:dyDescent="0.3">
      <c r="A81" t="s">
        <v>544</v>
      </c>
      <c r="B81" t="s">
        <v>1</v>
      </c>
      <c r="C81">
        <v>4</v>
      </c>
      <c r="D81">
        <v>91</v>
      </c>
      <c r="E81">
        <v>1000</v>
      </c>
      <c r="F81">
        <v>47.2</v>
      </c>
      <c r="G81" t="s">
        <v>0</v>
      </c>
      <c r="H81">
        <f t="shared" si="1"/>
        <v>9.0999999999999998E-2</v>
      </c>
    </row>
    <row r="82" spans="1:8" x14ac:dyDescent="0.3">
      <c r="A82" t="s">
        <v>504</v>
      </c>
      <c r="B82" t="s">
        <v>1</v>
      </c>
      <c r="C82">
        <v>4</v>
      </c>
      <c r="D82">
        <v>95</v>
      </c>
      <c r="E82">
        <v>1010</v>
      </c>
      <c r="F82">
        <v>52.8</v>
      </c>
      <c r="G82" t="s">
        <v>0</v>
      </c>
      <c r="H82">
        <f t="shared" si="1"/>
        <v>9.405940594059406E-2</v>
      </c>
    </row>
    <row r="83" spans="1:8" x14ac:dyDescent="0.3">
      <c r="A83" t="s">
        <v>580</v>
      </c>
      <c r="B83" t="s">
        <v>1</v>
      </c>
      <c r="C83">
        <v>4</v>
      </c>
      <c r="D83">
        <v>85</v>
      </c>
      <c r="E83">
        <v>1001</v>
      </c>
      <c r="F83">
        <v>58.3</v>
      </c>
      <c r="G83" t="s">
        <v>0</v>
      </c>
      <c r="H83">
        <f t="shared" si="1"/>
        <v>8.4915084915084912E-2</v>
      </c>
    </row>
    <row r="84" spans="1:8" x14ac:dyDescent="0.3">
      <c r="A84" t="s">
        <v>540</v>
      </c>
      <c r="B84" t="s">
        <v>1</v>
      </c>
      <c r="C84">
        <v>4</v>
      </c>
      <c r="D84">
        <v>91</v>
      </c>
      <c r="E84">
        <v>1000</v>
      </c>
      <c r="F84">
        <v>60.5</v>
      </c>
      <c r="G84" t="s">
        <v>0</v>
      </c>
      <c r="H84">
        <f t="shared" si="1"/>
        <v>9.0999999999999998E-2</v>
      </c>
    </row>
    <row r="85" spans="1:8" x14ac:dyDescent="0.3">
      <c r="A85" t="s">
        <v>500</v>
      </c>
      <c r="B85" t="s">
        <v>1</v>
      </c>
      <c r="C85">
        <v>4</v>
      </c>
      <c r="D85">
        <v>88</v>
      </c>
      <c r="E85">
        <v>1006</v>
      </c>
      <c r="F85">
        <v>44.8</v>
      </c>
      <c r="G85" t="s">
        <v>0</v>
      </c>
      <c r="H85">
        <f t="shared" si="1"/>
        <v>8.74751491053678E-2</v>
      </c>
    </row>
    <row r="86" spans="1:8" x14ac:dyDescent="0.3">
      <c r="A86" t="s">
        <v>576</v>
      </c>
      <c r="B86" t="s">
        <v>1</v>
      </c>
      <c r="C86">
        <v>4</v>
      </c>
      <c r="D86">
        <v>88</v>
      </c>
      <c r="E86">
        <v>1000</v>
      </c>
      <c r="F86">
        <v>69</v>
      </c>
      <c r="G86" t="s">
        <v>0</v>
      </c>
      <c r="H86">
        <f t="shared" si="1"/>
        <v>8.7999999999999995E-2</v>
      </c>
    </row>
    <row r="87" spans="1:8" x14ac:dyDescent="0.3">
      <c r="A87" t="s">
        <v>536</v>
      </c>
      <c r="B87" t="s">
        <v>1</v>
      </c>
      <c r="C87">
        <v>4</v>
      </c>
      <c r="D87">
        <v>91</v>
      </c>
      <c r="E87">
        <v>1008</v>
      </c>
      <c r="F87">
        <v>66.400000000000006</v>
      </c>
      <c r="G87" t="s">
        <v>0</v>
      </c>
      <c r="H87">
        <f t="shared" si="1"/>
        <v>9.0277777777777776E-2</v>
      </c>
    </row>
    <row r="88" spans="1:8" x14ac:dyDescent="0.3">
      <c r="A88" t="s">
        <v>496</v>
      </c>
      <c r="B88" t="s">
        <v>1</v>
      </c>
      <c r="C88">
        <v>4</v>
      </c>
      <c r="D88">
        <v>91</v>
      </c>
      <c r="E88">
        <v>1000</v>
      </c>
      <c r="F88">
        <v>78</v>
      </c>
      <c r="G88" t="s">
        <v>0</v>
      </c>
      <c r="H88">
        <f t="shared" si="1"/>
        <v>9.0999999999999998E-2</v>
      </c>
    </row>
    <row r="89" spans="1:8" x14ac:dyDescent="0.3">
      <c r="A89" t="s">
        <v>572</v>
      </c>
      <c r="B89" t="s">
        <v>1</v>
      </c>
      <c r="C89">
        <v>4</v>
      </c>
      <c r="D89">
        <v>93</v>
      </c>
      <c r="E89">
        <v>1000</v>
      </c>
      <c r="F89">
        <v>52.6</v>
      </c>
      <c r="G89" t="s">
        <v>0</v>
      </c>
      <c r="H89">
        <f t="shared" si="1"/>
        <v>9.2999999999999999E-2</v>
      </c>
    </row>
    <row r="90" spans="1:8" x14ac:dyDescent="0.3">
      <c r="A90" t="s">
        <v>532</v>
      </c>
      <c r="B90" t="s">
        <v>1</v>
      </c>
      <c r="C90">
        <v>4</v>
      </c>
      <c r="D90">
        <v>87</v>
      </c>
      <c r="E90">
        <v>1002</v>
      </c>
      <c r="F90">
        <v>96.4</v>
      </c>
      <c r="G90" t="s">
        <v>9</v>
      </c>
      <c r="H90">
        <f t="shared" si="1"/>
        <v>8.6826347305389226E-2</v>
      </c>
    </row>
    <row r="91" spans="1:8" x14ac:dyDescent="0.3">
      <c r="A91" t="s">
        <v>492</v>
      </c>
      <c r="B91" t="s">
        <v>1</v>
      </c>
      <c r="C91">
        <v>4</v>
      </c>
      <c r="D91">
        <v>91</v>
      </c>
      <c r="E91">
        <v>1003</v>
      </c>
      <c r="F91">
        <v>53.1</v>
      </c>
      <c r="G91" t="s">
        <v>0</v>
      </c>
      <c r="H91">
        <f t="shared" si="1"/>
        <v>9.072781655034895E-2</v>
      </c>
    </row>
    <row r="92" spans="1:8" x14ac:dyDescent="0.3">
      <c r="A92" t="s">
        <v>603</v>
      </c>
      <c r="B92" t="s">
        <v>1</v>
      </c>
      <c r="C92">
        <v>5</v>
      </c>
      <c r="D92">
        <v>107</v>
      </c>
      <c r="E92">
        <v>1006</v>
      </c>
      <c r="F92">
        <v>53.8</v>
      </c>
      <c r="G92" t="s">
        <v>0</v>
      </c>
      <c r="H92">
        <f t="shared" si="1"/>
        <v>0.10636182902584493</v>
      </c>
    </row>
    <row r="93" spans="1:8" x14ac:dyDescent="0.3">
      <c r="A93" t="s">
        <v>563</v>
      </c>
      <c r="B93" t="s">
        <v>1</v>
      </c>
      <c r="C93">
        <v>5</v>
      </c>
      <c r="D93">
        <v>110</v>
      </c>
      <c r="E93">
        <v>1000</v>
      </c>
      <c r="F93">
        <v>49.6</v>
      </c>
      <c r="G93" t="s">
        <v>0</v>
      </c>
      <c r="H93">
        <f t="shared" si="1"/>
        <v>0.11</v>
      </c>
    </row>
    <row r="94" spans="1:8" x14ac:dyDescent="0.3">
      <c r="A94" t="s">
        <v>523</v>
      </c>
      <c r="B94" t="s">
        <v>1</v>
      </c>
      <c r="C94">
        <v>5</v>
      </c>
      <c r="D94">
        <v>108</v>
      </c>
      <c r="E94">
        <v>1001</v>
      </c>
      <c r="F94">
        <v>38.799999999999997</v>
      </c>
      <c r="G94" t="s">
        <v>0</v>
      </c>
      <c r="H94">
        <f t="shared" si="1"/>
        <v>0.10789210789210789</v>
      </c>
    </row>
    <row r="95" spans="1:8" x14ac:dyDescent="0.3">
      <c r="A95" t="s">
        <v>607</v>
      </c>
      <c r="B95" t="s">
        <v>1</v>
      </c>
      <c r="C95">
        <v>5</v>
      </c>
      <c r="D95">
        <v>113</v>
      </c>
      <c r="E95">
        <v>1000</v>
      </c>
      <c r="F95">
        <v>48</v>
      </c>
      <c r="G95" t="s">
        <v>0</v>
      </c>
      <c r="H95">
        <f t="shared" si="1"/>
        <v>0.113</v>
      </c>
    </row>
    <row r="96" spans="1:8" x14ac:dyDescent="0.3">
      <c r="A96" t="s">
        <v>567</v>
      </c>
      <c r="B96" t="s">
        <v>1</v>
      </c>
      <c r="C96">
        <v>5</v>
      </c>
      <c r="D96">
        <v>112</v>
      </c>
      <c r="E96">
        <v>1001</v>
      </c>
      <c r="F96">
        <v>73.5</v>
      </c>
      <c r="G96" t="s">
        <v>0</v>
      </c>
      <c r="H96">
        <f t="shared" si="1"/>
        <v>0.11188811188811189</v>
      </c>
    </row>
    <row r="97" spans="1:8" x14ac:dyDescent="0.3">
      <c r="A97" t="s">
        <v>527</v>
      </c>
      <c r="B97" t="s">
        <v>1</v>
      </c>
      <c r="C97">
        <v>5</v>
      </c>
      <c r="D97">
        <v>111</v>
      </c>
      <c r="E97">
        <v>1000</v>
      </c>
      <c r="F97">
        <v>38.299999999999997</v>
      </c>
      <c r="G97" t="s">
        <v>0</v>
      </c>
      <c r="H97">
        <f t="shared" si="1"/>
        <v>0.111</v>
      </c>
    </row>
    <row r="98" spans="1:8" x14ac:dyDescent="0.3">
      <c r="A98" t="s">
        <v>599</v>
      </c>
      <c r="B98" t="s">
        <v>1</v>
      </c>
      <c r="C98">
        <v>5</v>
      </c>
      <c r="D98">
        <v>109</v>
      </c>
      <c r="E98">
        <v>1000</v>
      </c>
      <c r="F98">
        <v>43.1</v>
      </c>
      <c r="G98" t="s">
        <v>0</v>
      </c>
      <c r="H98">
        <f t="shared" si="1"/>
        <v>0.109</v>
      </c>
    </row>
    <row r="99" spans="1:8" x14ac:dyDescent="0.3">
      <c r="A99" t="s">
        <v>559</v>
      </c>
      <c r="B99" t="s">
        <v>1</v>
      </c>
      <c r="C99">
        <v>5</v>
      </c>
      <c r="D99">
        <v>112</v>
      </c>
      <c r="E99">
        <v>998</v>
      </c>
      <c r="F99">
        <v>67.400000000000006</v>
      </c>
      <c r="G99" t="s">
        <v>0</v>
      </c>
      <c r="H99">
        <f t="shared" si="1"/>
        <v>0.11222444889779559</v>
      </c>
    </row>
    <row r="100" spans="1:8" x14ac:dyDescent="0.3">
      <c r="A100" t="s">
        <v>519</v>
      </c>
      <c r="B100" t="s">
        <v>1</v>
      </c>
      <c r="C100">
        <v>5</v>
      </c>
      <c r="D100">
        <v>108</v>
      </c>
      <c r="E100">
        <v>1000</v>
      </c>
      <c r="F100">
        <v>40.799999999999997</v>
      </c>
      <c r="G100" t="s">
        <v>0</v>
      </c>
      <c r="H100">
        <f t="shared" si="1"/>
        <v>0.108</v>
      </c>
    </row>
    <row r="101" spans="1:8" x14ac:dyDescent="0.3">
      <c r="A101" t="s">
        <v>595</v>
      </c>
      <c r="B101" t="s">
        <v>1</v>
      </c>
      <c r="C101">
        <v>5</v>
      </c>
      <c r="D101">
        <v>110</v>
      </c>
      <c r="E101">
        <v>1002</v>
      </c>
      <c r="F101">
        <v>52</v>
      </c>
      <c r="G101" t="s">
        <v>0</v>
      </c>
      <c r="H101">
        <f t="shared" si="1"/>
        <v>0.10978043912175649</v>
      </c>
    </row>
    <row r="102" spans="1:8" x14ac:dyDescent="0.3">
      <c r="A102" t="s">
        <v>555</v>
      </c>
      <c r="B102" t="s">
        <v>1</v>
      </c>
      <c r="C102">
        <v>5</v>
      </c>
      <c r="D102">
        <v>113</v>
      </c>
      <c r="E102">
        <v>1000</v>
      </c>
      <c r="F102">
        <v>57.4</v>
      </c>
      <c r="G102" t="s">
        <v>0</v>
      </c>
      <c r="H102">
        <f t="shared" si="1"/>
        <v>0.113</v>
      </c>
    </row>
    <row r="103" spans="1:8" x14ac:dyDescent="0.3">
      <c r="A103" t="s">
        <v>515</v>
      </c>
      <c r="B103" t="s">
        <v>1</v>
      </c>
      <c r="C103">
        <v>5</v>
      </c>
      <c r="D103">
        <v>110</v>
      </c>
      <c r="E103">
        <v>1000</v>
      </c>
      <c r="F103">
        <v>36.5</v>
      </c>
      <c r="G103" t="s">
        <v>0</v>
      </c>
      <c r="H103">
        <f t="shared" si="1"/>
        <v>0.11</v>
      </c>
    </row>
    <row r="104" spans="1:8" x14ac:dyDescent="0.3">
      <c r="A104" t="s">
        <v>591</v>
      </c>
      <c r="B104" t="s">
        <v>1</v>
      </c>
      <c r="C104">
        <v>5</v>
      </c>
      <c r="D104">
        <v>109</v>
      </c>
      <c r="E104">
        <v>1003</v>
      </c>
      <c r="F104">
        <v>55</v>
      </c>
      <c r="G104" t="s">
        <v>0</v>
      </c>
      <c r="H104">
        <f t="shared" si="1"/>
        <v>0.10867397806580259</v>
      </c>
    </row>
    <row r="105" spans="1:8" x14ac:dyDescent="0.3">
      <c r="A105" t="s">
        <v>551</v>
      </c>
      <c r="B105" t="s">
        <v>1</v>
      </c>
      <c r="C105">
        <v>5</v>
      </c>
      <c r="D105">
        <v>112</v>
      </c>
      <c r="E105">
        <v>1003</v>
      </c>
      <c r="F105">
        <v>41.2</v>
      </c>
      <c r="G105" t="s">
        <v>0</v>
      </c>
      <c r="H105">
        <f t="shared" si="1"/>
        <v>0.11166500498504486</v>
      </c>
    </row>
    <row r="106" spans="1:8" x14ac:dyDescent="0.3">
      <c r="A106" t="s">
        <v>511</v>
      </c>
      <c r="B106" t="s">
        <v>1</v>
      </c>
      <c r="C106">
        <v>5</v>
      </c>
      <c r="D106">
        <v>113</v>
      </c>
      <c r="E106">
        <v>1004</v>
      </c>
      <c r="F106">
        <v>42.4</v>
      </c>
      <c r="G106" t="s">
        <v>0</v>
      </c>
      <c r="H106">
        <f t="shared" si="1"/>
        <v>0.11254980079681275</v>
      </c>
    </row>
    <row r="107" spans="1:8" x14ac:dyDescent="0.3">
      <c r="A107" t="s">
        <v>587</v>
      </c>
      <c r="B107" t="s">
        <v>1</v>
      </c>
      <c r="C107">
        <v>5</v>
      </c>
      <c r="D107">
        <v>114</v>
      </c>
      <c r="E107">
        <v>1001</v>
      </c>
      <c r="F107">
        <v>40.700000000000003</v>
      </c>
      <c r="G107" t="s">
        <v>0</v>
      </c>
      <c r="H107">
        <f t="shared" si="1"/>
        <v>0.11388611388611389</v>
      </c>
    </row>
    <row r="108" spans="1:8" x14ac:dyDescent="0.3">
      <c r="A108" t="s">
        <v>547</v>
      </c>
      <c r="B108" t="s">
        <v>1</v>
      </c>
      <c r="C108">
        <v>5</v>
      </c>
      <c r="D108">
        <v>108</v>
      </c>
      <c r="E108">
        <v>1001</v>
      </c>
      <c r="F108">
        <v>55</v>
      </c>
      <c r="G108" t="s">
        <v>0</v>
      </c>
      <c r="H108">
        <f t="shared" si="1"/>
        <v>0.10789210789210789</v>
      </c>
    </row>
    <row r="109" spans="1:8" x14ac:dyDescent="0.3">
      <c r="A109" t="s">
        <v>507</v>
      </c>
      <c r="B109" t="s">
        <v>1</v>
      </c>
      <c r="C109">
        <v>5</v>
      </c>
      <c r="D109">
        <v>116</v>
      </c>
      <c r="E109">
        <v>1002</v>
      </c>
      <c r="F109">
        <v>42.2</v>
      </c>
      <c r="G109" t="s">
        <v>0</v>
      </c>
      <c r="H109">
        <f t="shared" si="1"/>
        <v>0.1157684630738523</v>
      </c>
    </row>
    <row r="110" spans="1:8" x14ac:dyDescent="0.3">
      <c r="A110" t="s">
        <v>583</v>
      </c>
      <c r="B110" t="s">
        <v>1</v>
      </c>
      <c r="C110">
        <v>5</v>
      </c>
      <c r="D110">
        <v>107</v>
      </c>
      <c r="E110">
        <v>1005</v>
      </c>
      <c r="F110">
        <v>50</v>
      </c>
      <c r="G110" t="s">
        <v>0</v>
      </c>
      <c r="H110">
        <f t="shared" si="1"/>
        <v>0.10646766169154229</v>
      </c>
    </row>
    <row r="111" spans="1:8" x14ac:dyDescent="0.3">
      <c r="A111" t="s">
        <v>543</v>
      </c>
      <c r="B111" t="s">
        <v>1</v>
      </c>
      <c r="C111">
        <v>5</v>
      </c>
      <c r="D111">
        <v>112</v>
      </c>
      <c r="E111">
        <v>1000</v>
      </c>
      <c r="F111">
        <v>54</v>
      </c>
      <c r="G111" t="s">
        <v>0</v>
      </c>
      <c r="H111">
        <f t="shared" si="1"/>
        <v>0.112</v>
      </c>
    </row>
    <row r="112" spans="1:8" x14ac:dyDescent="0.3">
      <c r="A112" t="s">
        <v>503</v>
      </c>
      <c r="B112" t="s">
        <v>1</v>
      </c>
      <c r="C112">
        <v>5</v>
      </c>
      <c r="D112">
        <v>114</v>
      </c>
      <c r="E112">
        <v>1010</v>
      </c>
      <c r="F112">
        <v>49</v>
      </c>
      <c r="G112" t="s">
        <v>0</v>
      </c>
      <c r="H112">
        <f t="shared" si="1"/>
        <v>0.11287128712871287</v>
      </c>
    </row>
    <row r="113" spans="1:8" x14ac:dyDescent="0.3">
      <c r="A113" t="s">
        <v>579</v>
      </c>
      <c r="B113" t="s">
        <v>1</v>
      </c>
      <c r="C113">
        <v>5</v>
      </c>
      <c r="D113">
        <v>106</v>
      </c>
      <c r="E113">
        <v>1001</v>
      </c>
      <c r="F113">
        <v>47.3</v>
      </c>
      <c r="G113" t="s">
        <v>0</v>
      </c>
      <c r="H113">
        <f t="shared" si="1"/>
        <v>0.10589410589410589</v>
      </c>
    </row>
    <row r="114" spans="1:8" x14ac:dyDescent="0.3">
      <c r="A114" t="s">
        <v>539</v>
      </c>
      <c r="B114" t="s">
        <v>1</v>
      </c>
      <c r="C114">
        <v>5</v>
      </c>
      <c r="D114">
        <v>110</v>
      </c>
      <c r="E114">
        <v>1000</v>
      </c>
      <c r="F114">
        <v>52.9</v>
      </c>
      <c r="G114" t="s">
        <v>0</v>
      </c>
      <c r="H114">
        <f t="shared" si="1"/>
        <v>0.11</v>
      </c>
    </row>
    <row r="115" spans="1:8" x14ac:dyDescent="0.3">
      <c r="A115" t="s">
        <v>499</v>
      </c>
      <c r="B115" t="s">
        <v>1</v>
      </c>
      <c r="C115">
        <v>5</v>
      </c>
      <c r="D115">
        <v>109</v>
      </c>
      <c r="E115">
        <v>1006</v>
      </c>
      <c r="F115">
        <v>44.8</v>
      </c>
      <c r="G115" t="s">
        <v>0</v>
      </c>
      <c r="H115">
        <f t="shared" si="1"/>
        <v>0.10834990059642147</v>
      </c>
    </row>
    <row r="116" spans="1:8" x14ac:dyDescent="0.3">
      <c r="A116" t="s">
        <v>575</v>
      </c>
      <c r="B116" t="s">
        <v>1</v>
      </c>
      <c r="C116">
        <v>5</v>
      </c>
      <c r="D116">
        <v>108</v>
      </c>
      <c r="E116">
        <v>1000</v>
      </c>
      <c r="F116">
        <v>57.4</v>
      </c>
      <c r="G116" t="s">
        <v>0</v>
      </c>
      <c r="H116">
        <f t="shared" si="1"/>
        <v>0.108</v>
      </c>
    </row>
    <row r="117" spans="1:8" x14ac:dyDescent="0.3">
      <c r="A117" t="s">
        <v>535</v>
      </c>
      <c r="B117" t="s">
        <v>1</v>
      </c>
      <c r="C117">
        <v>5</v>
      </c>
      <c r="D117">
        <v>109</v>
      </c>
      <c r="E117">
        <v>1008</v>
      </c>
      <c r="F117">
        <v>50.7</v>
      </c>
      <c r="G117" t="s">
        <v>0</v>
      </c>
      <c r="H117">
        <f t="shared" si="1"/>
        <v>0.10813492063492064</v>
      </c>
    </row>
    <row r="118" spans="1:8" x14ac:dyDescent="0.3">
      <c r="A118" t="s">
        <v>495</v>
      </c>
      <c r="B118" t="s">
        <v>1</v>
      </c>
      <c r="C118">
        <v>5</v>
      </c>
      <c r="D118">
        <v>111</v>
      </c>
      <c r="E118">
        <v>1000</v>
      </c>
      <c r="F118">
        <v>69.900000000000006</v>
      </c>
      <c r="G118" t="s">
        <v>0</v>
      </c>
      <c r="H118">
        <f t="shared" si="1"/>
        <v>0.111</v>
      </c>
    </row>
    <row r="119" spans="1:8" x14ac:dyDescent="0.3">
      <c r="A119" t="s">
        <v>571</v>
      </c>
      <c r="B119" t="s">
        <v>1</v>
      </c>
      <c r="C119">
        <v>5</v>
      </c>
      <c r="D119">
        <v>113</v>
      </c>
      <c r="E119">
        <v>1000</v>
      </c>
      <c r="F119">
        <v>41.8</v>
      </c>
      <c r="G119" t="s">
        <v>0</v>
      </c>
      <c r="H119">
        <f t="shared" si="1"/>
        <v>0.113</v>
      </c>
    </row>
    <row r="120" spans="1:8" x14ac:dyDescent="0.3">
      <c r="A120" t="s">
        <v>531</v>
      </c>
      <c r="B120" t="s">
        <v>1</v>
      </c>
      <c r="C120">
        <v>5</v>
      </c>
      <c r="D120">
        <v>108</v>
      </c>
      <c r="E120">
        <v>1002</v>
      </c>
      <c r="F120">
        <v>52.6</v>
      </c>
      <c r="G120" t="s">
        <v>0</v>
      </c>
      <c r="H120">
        <f t="shared" si="1"/>
        <v>0.10778443113772455</v>
      </c>
    </row>
    <row r="121" spans="1:8" x14ac:dyDescent="0.3">
      <c r="A121" t="s">
        <v>491</v>
      </c>
      <c r="B121" t="s">
        <v>1</v>
      </c>
      <c r="C121">
        <v>5</v>
      </c>
      <c r="D121">
        <v>113</v>
      </c>
      <c r="E121">
        <v>1003</v>
      </c>
      <c r="F121">
        <v>54.4</v>
      </c>
      <c r="G121" t="s">
        <v>0</v>
      </c>
      <c r="H121">
        <f t="shared" si="1"/>
        <v>0.11266201395812563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1BD2-D944-4D0E-AF6A-2C4F9A4C9972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129</v>
      </c>
      <c r="B1" t="s">
        <v>128</v>
      </c>
      <c r="C1" t="s">
        <v>127</v>
      </c>
      <c r="D1" t="s">
        <v>126</v>
      </c>
      <c r="E1" t="s">
        <v>125</v>
      </c>
      <c r="F1" t="s">
        <v>124</v>
      </c>
      <c r="G1" t="s">
        <v>123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846</v>
      </c>
      <c r="B2" t="s">
        <v>130</v>
      </c>
      <c r="C2">
        <v>0.3</v>
      </c>
      <c r="D2">
        <v>42</v>
      </c>
      <c r="E2">
        <v>1006</v>
      </c>
      <c r="F2">
        <v>98.2</v>
      </c>
      <c r="G2" t="s">
        <v>9</v>
      </c>
      <c r="H2">
        <f>D2/E2</f>
        <v>4.1749502982107355E-2</v>
      </c>
      <c r="J2" t="s">
        <v>1249</v>
      </c>
      <c r="K2">
        <f>AVERAGE(F2:F31)</f>
        <v>72.896666666666675</v>
      </c>
      <c r="L2">
        <f>MIN(F2:F31)</f>
        <v>33</v>
      </c>
      <c r="M2">
        <f>MAX(F2:F31)</f>
        <v>100</v>
      </c>
      <c r="N2">
        <f>AVERAGE(H2:H31)</f>
        <v>4.2286392429143324E-2</v>
      </c>
    </row>
    <row r="3" spans="1:14" x14ac:dyDescent="0.3">
      <c r="A3" t="s">
        <v>806</v>
      </c>
      <c r="B3" t="s">
        <v>130</v>
      </c>
      <c r="C3">
        <v>0.3</v>
      </c>
      <c r="D3">
        <v>43</v>
      </c>
      <c r="E3">
        <v>1000</v>
      </c>
      <c r="F3">
        <v>49.5</v>
      </c>
      <c r="G3" t="s">
        <v>0</v>
      </c>
      <c r="H3">
        <f t="shared" ref="H3:H66" si="0">D3/E3</f>
        <v>4.2999999999999997E-2</v>
      </c>
      <c r="J3" t="s">
        <v>1250</v>
      </c>
      <c r="K3">
        <f>AVERAGE(F32:F61)</f>
        <v>71.13666666666667</v>
      </c>
      <c r="L3">
        <f>MIN(F32:F61)</f>
        <v>45.5</v>
      </c>
      <c r="M3">
        <f>MAX(F32:F61)</f>
        <v>97.6</v>
      </c>
      <c r="N3">
        <f>AVERAGE(H32:H61)</f>
        <v>7.3227825971296706E-2</v>
      </c>
    </row>
    <row r="4" spans="1:14" x14ac:dyDescent="0.3">
      <c r="A4" t="s">
        <v>766</v>
      </c>
      <c r="B4" t="s">
        <v>130</v>
      </c>
      <c r="C4">
        <v>0.3</v>
      </c>
      <c r="D4">
        <v>40</v>
      </c>
      <c r="E4">
        <v>1001</v>
      </c>
      <c r="F4">
        <v>72.2</v>
      </c>
      <c r="G4" t="s">
        <v>0</v>
      </c>
      <c r="H4">
        <f t="shared" si="0"/>
        <v>3.996003996003996E-2</v>
      </c>
      <c r="J4" t="s">
        <v>1251</v>
      </c>
      <c r="K4">
        <f>AVERAGE(F62:F91)</f>
        <v>53.693333333333321</v>
      </c>
      <c r="L4">
        <f>MIN(F62:F91)</f>
        <v>31.3</v>
      </c>
      <c r="M4">
        <f>MAX(F62:F91)</f>
        <v>88.6</v>
      </c>
      <c r="N4">
        <f>AVERAGE(H62:H91)</f>
        <v>0.1031711487540258</v>
      </c>
    </row>
    <row r="5" spans="1:14" x14ac:dyDescent="0.3">
      <c r="A5" t="s">
        <v>850</v>
      </c>
      <c r="B5" t="s">
        <v>130</v>
      </c>
      <c r="C5">
        <v>0.3</v>
      </c>
      <c r="D5">
        <v>42</v>
      </c>
      <c r="E5">
        <v>1000</v>
      </c>
      <c r="F5">
        <v>80.3</v>
      </c>
      <c r="G5" t="s">
        <v>9</v>
      </c>
      <c r="H5">
        <f t="shared" si="0"/>
        <v>4.2000000000000003E-2</v>
      </c>
      <c r="J5" t="s">
        <v>1252</v>
      </c>
      <c r="K5">
        <f>AVERAGE(F92:F121)</f>
        <v>45.396666666666675</v>
      </c>
      <c r="L5">
        <f>MIN(F92:F121)</f>
        <v>31</v>
      </c>
      <c r="M5">
        <f>MAX(F92:F121)</f>
        <v>60.6</v>
      </c>
      <c r="N5">
        <f>AVERAGE(H92:H121)</f>
        <v>0.13298196581200503</v>
      </c>
    </row>
    <row r="6" spans="1:14" x14ac:dyDescent="0.3">
      <c r="A6" t="s">
        <v>810</v>
      </c>
      <c r="B6" t="s">
        <v>130</v>
      </c>
      <c r="C6">
        <v>0.3</v>
      </c>
      <c r="D6">
        <v>44</v>
      </c>
      <c r="E6">
        <v>1001</v>
      </c>
      <c r="F6">
        <v>98.5</v>
      </c>
      <c r="G6" t="s">
        <v>9</v>
      </c>
      <c r="H6">
        <f t="shared" si="0"/>
        <v>4.3956043956043959E-2</v>
      </c>
    </row>
    <row r="7" spans="1:14" x14ac:dyDescent="0.3">
      <c r="A7" t="s">
        <v>770</v>
      </c>
      <c r="B7" t="s">
        <v>130</v>
      </c>
      <c r="C7">
        <v>0.3</v>
      </c>
      <c r="D7">
        <v>41</v>
      </c>
      <c r="E7">
        <v>1000</v>
      </c>
      <c r="F7">
        <v>33</v>
      </c>
      <c r="G7" t="s">
        <v>0</v>
      </c>
      <c r="H7">
        <f t="shared" si="0"/>
        <v>4.1000000000000002E-2</v>
      </c>
    </row>
    <row r="8" spans="1:14" x14ac:dyDescent="0.3">
      <c r="A8" t="s">
        <v>842</v>
      </c>
      <c r="B8" t="s">
        <v>130</v>
      </c>
      <c r="C8">
        <v>0.3</v>
      </c>
      <c r="D8">
        <v>43</v>
      </c>
      <c r="E8">
        <v>1000</v>
      </c>
      <c r="F8">
        <v>62.4</v>
      </c>
      <c r="G8" t="s">
        <v>0</v>
      </c>
      <c r="H8">
        <f t="shared" si="0"/>
        <v>4.2999999999999997E-2</v>
      </c>
    </row>
    <row r="9" spans="1:14" x14ac:dyDescent="0.3">
      <c r="A9" t="s">
        <v>802</v>
      </c>
      <c r="B9" t="s">
        <v>130</v>
      </c>
      <c r="C9">
        <v>0.3</v>
      </c>
      <c r="D9">
        <v>42</v>
      </c>
      <c r="E9">
        <v>998</v>
      </c>
      <c r="F9">
        <v>97.8</v>
      </c>
      <c r="G9" t="s">
        <v>9</v>
      </c>
      <c r="H9">
        <f t="shared" si="0"/>
        <v>4.2084168336673347E-2</v>
      </c>
    </row>
    <row r="10" spans="1:14" x14ac:dyDescent="0.3">
      <c r="A10" t="s">
        <v>762</v>
      </c>
      <c r="B10" t="s">
        <v>130</v>
      </c>
      <c r="C10">
        <v>0.3</v>
      </c>
      <c r="D10">
        <v>43</v>
      </c>
      <c r="E10">
        <v>1000</v>
      </c>
      <c r="F10">
        <v>61</v>
      </c>
      <c r="G10" t="s">
        <v>0</v>
      </c>
      <c r="H10">
        <f t="shared" si="0"/>
        <v>4.2999999999999997E-2</v>
      </c>
    </row>
    <row r="11" spans="1:14" x14ac:dyDescent="0.3">
      <c r="A11" t="s">
        <v>838</v>
      </c>
      <c r="B11" t="s">
        <v>130</v>
      </c>
      <c r="C11">
        <v>0.3</v>
      </c>
      <c r="D11">
        <v>41</v>
      </c>
      <c r="E11">
        <v>1002</v>
      </c>
      <c r="F11">
        <v>59.3</v>
      </c>
      <c r="G11" t="s">
        <v>0</v>
      </c>
      <c r="H11">
        <f t="shared" si="0"/>
        <v>4.0918163672654689E-2</v>
      </c>
    </row>
    <row r="12" spans="1:14" x14ac:dyDescent="0.3">
      <c r="A12" t="s">
        <v>798</v>
      </c>
      <c r="B12" t="s">
        <v>130</v>
      </c>
      <c r="C12">
        <v>0.3</v>
      </c>
      <c r="D12">
        <v>43</v>
      </c>
      <c r="E12">
        <v>1000</v>
      </c>
      <c r="F12">
        <v>64.8</v>
      </c>
      <c r="G12" t="s">
        <v>0</v>
      </c>
      <c r="H12">
        <f t="shared" si="0"/>
        <v>4.2999999999999997E-2</v>
      </c>
    </row>
    <row r="13" spans="1:14" x14ac:dyDescent="0.3">
      <c r="A13" t="s">
        <v>758</v>
      </c>
      <c r="B13" t="s">
        <v>130</v>
      </c>
      <c r="C13">
        <v>0.3</v>
      </c>
      <c r="D13">
        <v>42</v>
      </c>
      <c r="E13">
        <v>1000</v>
      </c>
      <c r="F13">
        <v>97.1</v>
      </c>
      <c r="G13" t="s">
        <v>9</v>
      </c>
      <c r="H13">
        <f t="shared" si="0"/>
        <v>4.2000000000000003E-2</v>
      </c>
    </row>
    <row r="14" spans="1:14" x14ac:dyDescent="0.3">
      <c r="A14" t="s">
        <v>834</v>
      </c>
      <c r="B14" t="s">
        <v>130</v>
      </c>
      <c r="C14">
        <v>0.3</v>
      </c>
      <c r="D14">
        <v>42</v>
      </c>
      <c r="E14">
        <v>1003</v>
      </c>
      <c r="F14">
        <v>98.4</v>
      </c>
      <c r="G14" t="s">
        <v>9</v>
      </c>
      <c r="H14">
        <f t="shared" si="0"/>
        <v>4.1874376869391827E-2</v>
      </c>
    </row>
    <row r="15" spans="1:14" x14ac:dyDescent="0.3">
      <c r="A15" t="s">
        <v>794</v>
      </c>
      <c r="B15" t="s">
        <v>130</v>
      </c>
      <c r="C15">
        <v>0.3</v>
      </c>
      <c r="D15">
        <v>44</v>
      </c>
      <c r="E15">
        <v>1003</v>
      </c>
      <c r="F15">
        <v>49.3</v>
      </c>
      <c r="G15" t="s">
        <v>0</v>
      </c>
      <c r="H15">
        <f t="shared" si="0"/>
        <v>4.3868394815553338E-2</v>
      </c>
    </row>
    <row r="16" spans="1:14" x14ac:dyDescent="0.3">
      <c r="A16" t="s">
        <v>754</v>
      </c>
      <c r="B16" t="s">
        <v>130</v>
      </c>
      <c r="C16">
        <v>0.3</v>
      </c>
      <c r="D16">
        <v>43</v>
      </c>
      <c r="E16">
        <v>1004</v>
      </c>
      <c r="F16">
        <v>76.3</v>
      </c>
      <c r="G16" t="s">
        <v>0</v>
      </c>
      <c r="H16">
        <f t="shared" si="0"/>
        <v>4.282868525896414E-2</v>
      </c>
    </row>
    <row r="17" spans="1:8" x14ac:dyDescent="0.3">
      <c r="A17" t="s">
        <v>830</v>
      </c>
      <c r="B17" t="s">
        <v>130</v>
      </c>
      <c r="C17">
        <v>0.3</v>
      </c>
      <c r="D17">
        <v>43</v>
      </c>
      <c r="E17">
        <v>1001</v>
      </c>
      <c r="F17">
        <v>55.7</v>
      </c>
      <c r="G17" t="s">
        <v>0</v>
      </c>
      <c r="H17">
        <f t="shared" si="0"/>
        <v>4.295704295704296E-2</v>
      </c>
    </row>
    <row r="18" spans="1:8" x14ac:dyDescent="0.3">
      <c r="A18" t="s">
        <v>790</v>
      </c>
      <c r="B18" t="s">
        <v>130</v>
      </c>
      <c r="C18">
        <v>0.3</v>
      </c>
      <c r="D18">
        <v>43</v>
      </c>
      <c r="E18">
        <v>1001</v>
      </c>
      <c r="F18">
        <v>84.9</v>
      </c>
      <c r="G18" t="s">
        <v>9</v>
      </c>
      <c r="H18">
        <f t="shared" si="0"/>
        <v>4.295704295704296E-2</v>
      </c>
    </row>
    <row r="19" spans="1:8" x14ac:dyDescent="0.3">
      <c r="A19" t="s">
        <v>750</v>
      </c>
      <c r="B19" t="s">
        <v>130</v>
      </c>
      <c r="C19">
        <v>0.3</v>
      </c>
      <c r="D19">
        <v>44</v>
      </c>
      <c r="E19">
        <v>1002</v>
      </c>
      <c r="F19">
        <v>56.1</v>
      </c>
      <c r="G19" t="s">
        <v>0</v>
      </c>
      <c r="H19">
        <f t="shared" si="0"/>
        <v>4.3912175648702596E-2</v>
      </c>
    </row>
    <row r="20" spans="1:8" x14ac:dyDescent="0.3">
      <c r="A20" t="s">
        <v>826</v>
      </c>
      <c r="B20" t="s">
        <v>130</v>
      </c>
      <c r="C20">
        <v>0.3</v>
      </c>
      <c r="D20">
        <v>41</v>
      </c>
      <c r="E20">
        <v>1005</v>
      </c>
      <c r="F20">
        <v>54.7</v>
      </c>
      <c r="G20" t="s">
        <v>0</v>
      </c>
      <c r="H20">
        <f t="shared" si="0"/>
        <v>4.0796019900497513E-2</v>
      </c>
    </row>
    <row r="21" spans="1:8" x14ac:dyDescent="0.3">
      <c r="A21" t="s">
        <v>786</v>
      </c>
      <c r="B21" t="s">
        <v>130</v>
      </c>
      <c r="C21">
        <v>0.3</v>
      </c>
      <c r="D21">
        <v>42</v>
      </c>
      <c r="E21">
        <v>1000</v>
      </c>
      <c r="F21">
        <v>65.2</v>
      </c>
      <c r="G21" t="s">
        <v>0</v>
      </c>
      <c r="H21">
        <f t="shared" si="0"/>
        <v>4.2000000000000003E-2</v>
      </c>
    </row>
    <row r="22" spans="1:8" x14ac:dyDescent="0.3">
      <c r="A22" t="s">
        <v>746</v>
      </c>
      <c r="B22" t="s">
        <v>130</v>
      </c>
      <c r="C22">
        <v>0.3</v>
      </c>
      <c r="D22">
        <v>44</v>
      </c>
      <c r="E22">
        <v>1010</v>
      </c>
      <c r="F22">
        <v>62</v>
      </c>
      <c r="G22" t="s">
        <v>0</v>
      </c>
      <c r="H22">
        <f t="shared" si="0"/>
        <v>4.3564356435643561E-2</v>
      </c>
    </row>
    <row r="23" spans="1:8" x14ac:dyDescent="0.3">
      <c r="A23" t="s">
        <v>822</v>
      </c>
      <c r="B23" t="s">
        <v>130</v>
      </c>
      <c r="C23">
        <v>0.3</v>
      </c>
      <c r="D23">
        <v>40</v>
      </c>
      <c r="E23">
        <v>1001</v>
      </c>
      <c r="F23">
        <v>93.6</v>
      </c>
      <c r="G23" t="s">
        <v>9</v>
      </c>
      <c r="H23">
        <f t="shared" si="0"/>
        <v>3.996003996003996E-2</v>
      </c>
    </row>
    <row r="24" spans="1:8" x14ac:dyDescent="0.3">
      <c r="A24" t="s">
        <v>782</v>
      </c>
      <c r="B24" t="s">
        <v>130</v>
      </c>
      <c r="C24">
        <v>0.3</v>
      </c>
      <c r="D24">
        <v>43</v>
      </c>
      <c r="E24">
        <v>1000</v>
      </c>
      <c r="F24">
        <v>73.3</v>
      </c>
      <c r="G24" t="s">
        <v>0</v>
      </c>
      <c r="H24">
        <f t="shared" si="0"/>
        <v>4.2999999999999997E-2</v>
      </c>
    </row>
    <row r="25" spans="1:8" x14ac:dyDescent="0.3">
      <c r="A25" t="s">
        <v>742</v>
      </c>
      <c r="B25" t="s">
        <v>130</v>
      </c>
      <c r="C25">
        <v>0.3</v>
      </c>
      <c r="D25">
        <v>42</v>
      </c>
      <c r="E25">
        <v>1006</v>
      </c>
      <c r="F25">
        <v>66.3</v>
      </c>
      <c r="G25" t="s">
        <v>0</v>
      </c>
      <c r="H25">
        <f t="shared" si="0"/>
        <v>4.1749502982107355E-2</v>
      </c>
    </row>
    <row r="26" spans="1:8" x14ac:dyDescent="0.3">
      <c r="A26" t="s">
        <v>818</v>
      </c>
      <c r="B26" t="s">
        <v>130</v>
      </c>
      <c r="C26">
        <v>0.3</v>
      </c>
      <c r="D26">
        <v>41</v>
      </c>
      <c r="E26">
        <v>1000</v>
      </c>
      <c r="F26">
        <v>51.7</v>
      </c>
      <c r="G26" t="s">
        <v>0</v>
      </c>
      <c r="H26">
        <f t="shared" si="0"/>
        <v>4.1000000000000002E-2</v>
      </c>
    </row>
    <row r="27" spans="1:8" x14ac:dyDescent="0.3">
      <c r="A27" t="s">
        <v>778</v>
      </c>
      <c r="B27" t="s">
        <v>130</v>
      </c>
      <c r="C27">
        <v>0.3</v>
      </c>
      <c r="D27">
        <v>42</v>
      </c>
      <c r="E27">
        <v>1008</v>
      </c>
      <c r="F27">
        <v>96.9</v>
      </c>
      <c r="G27" t="s">
        <v>9</v>
      </c>
      <c r="H27">
        <f t="shared" si="0"/>
        <v>4.1666666666666664E-2</v>
      </c>
    </row>
    <row r="28" spans="1:8" x14ac:dyDescent="0.3">
      <c r="A28" t="s">
        <v>738</v>
      </c>
      <c r="B28" t="s">
        <v>130</v>
      </c>
      <c r="C28">
        <v>0.3</v>
      </c>
      <c r="D28">
        <v>44</v>
      </c>
      <c r="E28">
        <v>1000</v>
      </c>
      <c r="F28">
        <v>100</v>
      </c>
      <c r="G28" t="s">
        <v>9</v>
      </c>
      <c r="H28">
        <f t="shared" si="0"/>
        <v>4.3999999999999997E-2</v>
      </c>
    </row>
    <row r="29" spans="1:8" x14ac:dyDescent="0.3">
      <c r="A29" t="s">
        <v>814</v>
      </c>
      <c r="B29" t="s">
        <v>130</v>
      </c>
      <c r="C29">
        <v>0.3</v>
      </c>
      <c r="D29">
        <v>43</v>
      </c>
      <c r="E29">
        <v>1000</v>
      </c>
      <c r="F29">
        <v>63.6</v>
      </c>
      <c r="G29" t="s">
        <v>0</v>
      </c>
      <c r="H29">
        <f t="shared" si="0"/>
        <v>4.2999999999999997E-2</v>
      </c>
    </row>
    <row r="30" spans="1:8" x14ac:dyDescent="0.3">
      <c r="A30" t="s">
        <v>774</v>
      </c>
      <c r="B30" t="s">
        <v>130</v>
      </c>
      <c r="C30">
        <v>0.3</v>
      </c>
      <c r="D30">
        <v>41</v>
      </c>
      <c r="E30">
        <v>1002</v>
      </c>
      <c r="F30">
        <v>98.3</v>
      </c>
      <c r="G30" t="s">
        <v>9</v>
      </c>
      <c r="H30">
        <f t="shared" si="0"/>
        <v>4.0918163672654689E-2</v>
      </c>
    </row>
    <row r="31" spans="1:8" x14ac:dyDescent="0.3">
      <c r="A31" t="s">
        <v>734</v>
      </c>
      <c r="B31" t="s">
        <v>130</v>
      </c>
      <c r="C31">
        <v>0.3</v>
      </c>
      <c r="D31">
        <v>43</v>
      </c>
      <c r="E31">
        <v>1003</v>
      </c>
      <c r="F31">
        <v>66.5</v>
      </c>
      <c r="G31" t="s">
        <v>0</v>
      </c>
      <c r="H31">
        <f t="shared" si="0"/>
        <v>4.2871385842472583E-2</v>
      </c>
    </row>
    <row r="32" spans="1:8" x14ac:dyDescent="0.3">
      <c r="A32" t="s">
        <v>845</v>
      </c>
      <c r="B32" t="s">
        <v>130</v>
      </c>
      <c r="C32">
        <v>0.6</v>
      </c>
      <c r="D32">
        <v>73</v>
      </c>
      <c r="E32">
        <v>1006</v>
      </c>
      <c r="F32">
        <v>95.7</v>
      </c>
      <c r="G32" t="s">
        <v>9</v>
      </c>
      <c r="H32">
        <f t="shared" si="0"/>
        <v>7.2564612326043734E-2</v>
      </c>
    </row>
    <row r="33" spans="1:8" x14ac:dyDescent="0.3">
      <c r="A33" t="s">
        <v>805</v>
      </c>
      <c r="B33" t="s">
        <v>130</v>
      </c>
      <c r="C33">
        <v>0.6</v>
      </c>
      <c r="D33">
        <v>74</v>
      </c>
      <c r="E33">
        <v>1000</v>
      </c>
      <c r="F33">
        <v>49.5</v>
      </c>
      <c r="G33" t="s">
        <v>0</v>
      </c>
      <c r="H33">
        <f t="shared" si="0"/>
        <v>7.3999999999999996E-2</v>
      </c>
    </row>
    <row r="34" spans="1:8" x14ac:dyDescent="0.3">
      <c r="A34" t="s">
        <v>765</v>
      </c>
      <c r="B34" t="s">
        <v>130</v>
      </c>
      <c r="C34">
        <v>0.6</v>
      </c>
      <c r="D34">
        <v>71</v>
      </c>
      <c r="E34">
        <v>1001</v>
      </c>
      <c r="F34">
        <v>91.6</v>
      </c>
      <c r="G34" t="s">
        <v>9</v>
      </c>
      <c r="H34">
        <f t="shared" si="0"/>
        <v>7.0929070929070928E-2</v>
      </c>
    </row>
    <row r="35" spans="1:8" x14ac:dyDescent="0.3">
      <c r="A35" t="s">
        <v>849</v>
      </c>
      <c r="B35" t="s">
        <v>130</v>
      </c>
      <c r="C35">
        <v>0.6</v>
      </c>
      <c r="D35">
        <v>73</v>
      </c>
      <c r="E35">
        <v>1000</v>
      </c>
      <c r="F35">
        <v>80.8</v>
      </c>
      <c r="G35" t="s">
        <v>9</v>
      </c>
      <c r="H35">
        <f t="shared" si="0"/>
        <v>7.2999999999999995E-2</v>
      </c>
    </row>
    <row r="36" spans="1:8" x14ac:dyDescent="0.3">
      <c r="A36" t="s">
        <v>809</v>
      </c>
      <c r="B36" t="s">
        <v>130</v>
      </c>
      <c r="C36">
        <v>0.6</v>
      </c>
      <c r="D36">
        <v>75</v>
      </c>
      <c r="E36">
        <v>1001</v>
      </c>
      <c r="F36">
        <v>94.8</v>
      </c>
      <c r="G36" t="s">
        <v>9</v>
      </c>
      <c r="H36">
        <f t="shared" si="0"/>
        <v>7.4925074925074928E-2</v>
      </c>
    </row>
    <row r="37" spans="1:8" x14ac:dyDescent="0.3">
      <c r="A37" t="s">
        <v>769</v>
      </c>
      <c r="B37" t="s">
        <v>130</v>
      </c>
      <c r="C37">
        <v>0.6</v>
      </c>
      <c r="D37">
        <v>72</v>
      </c>
      <c r="E37">
        <v>1000</v>
      </c>
      <c r="F37">
        <v>50.5</v>
      </c>
      <c r="G37" t="s">
        <v>0</v>
      </c>
      <c r="H37">
        <f t="shared" si="0"/>
        <v>7.1999999999999995E-2</v>
      </c>
    </row>
    <row r="38" spans="1:8" x14ac:dyDescent="0.3">
      <c r="A38" t="s">
        <v>841</v>
      </c>
      <c r="B38" t="s">
        <v>130</v>
      </c>
      <c r="C38">
        <v>0.6</v>
      </c>
      <c r="D38">
        <v>74</v>
      </c>
      <c r="E38">
        <v>1000</v>
      </c>
      <c r="F38">
        <v>59.4</v>
      </c>
      <c r="G38" t="s">
        <v>0</v>
      </c>
      <c r="H38">
        <f t="shared" si="0"/>
        <v>7.3999999999999996E-2</v>
      </c>
    </row>
    <row r="39" spans="1:8" x14ac:dyDescent="0.3">
      <c r="A39" t="s">
        <v>801</v>
      </c>
      <c r="B39" t="s">
        <v>130</v>
      </c>
      <c r="C39">
        <v>0.6</v>
      </c>
      <c r="D39">
        <v>73</v>
      </c>
      <c r="E39">
        <v>998</v>
      </c>
      <c r="F39">
        <v>92.7</v>
      </c>
      <c r="G39" t="s">
        <v>9</v>
      </c>
      <c r="H39">
        <f t="shared" si="0"/>
        <v>7.3146292585170344E-2</v>
      </c>
    </row>
    <row r="40" spans="1:8" x14ac:dyDescent="0.3">
      <c r="A40" t="s">
        <v>761</v>
      </c>
      <c r="B40" t="s">
        <v>130</v>
      </c>
      <c r="C40">
        <v>0.6</v>
      </c>
      <c r="D40">
        <v>74</v>
      </c>
      <c r="E40">
        <v>1000</v>
      </c>
      <c r="F40">
        <v>66.8</v>
      </c>
      <c r="G40" t="s">
        <v>0</v>
      </c>
      <c r="H40">
        <f t="shared" si="0"/>
        <v>7.3999999999999996E-2</v>
      </c>
    </row>
    <row r="41" spans="1:8" x14ac:dyDescent="0.3">
      <c r="A41" t="s">
        <v>837</v>
      </c>
      <c r="B41" t="s">
        <v>130</v>
      </c>
      <c r="C41">
        <v>0.6</v>
      </c>
      <c r="D41">
        <v>72</v>
      </c>
      <c r="E41">
        <v>1002</v>
      </c>
      <c r="F41">
        <v>96.3</v>
      </c>
      <c r="G41" t="s">
        <v>9</v>
      </c>
      <c r="H41">
        <f t="shared" si="0"/>
        <v>7.1856287425149698E-2</v>
      </c>
    </row>
    <row r="42" spans="1:8" x14ac:dyDescent="0.3">
      <c r="A42" t="s">
        <v>797</v>
      </c>
      <c r="B42" t="s">
        <v>130</v>
      </c>
      <c r="C42">
        <v>0.6</v>
      </c>
      <c r="D42">
        <v>74</v>
      </c>
      <c r="E42">
        <v>1000</v>
      </c>
      <c r="F42">
        <v>68.3</v>
      </c>
      <c r="G42" t="s">
        <v>0</v>
      </c>
      <c r="H42">
        <f t="shared" si="0"/>
        <v>7.3999999999999996E-2</v>
      </c>
    </row>
    <row r="43" spans="1:8" x14ac:dyDescent="0.3">
      <c r="A43" t="s">
        <v>757</v>
      </c>
      <c r="B43" t="s">
        <v>130</v>
      </c>
      <c r="C43">
        <v>0.6</v>
      </c>
      <c r="D43">
        <v>73</v>
      </c>
      <c r="E43">
        <v>1000</v>
      </c>
      <c r="F43">
        <v>50.6</v>
      </c>
      <c r="G43" t="s">
        <v>0</v>
      </c>
      <c r="H43">
        <f t="shared" si="0"/>
        <v>7.2999999999999995E-2</v>
      </c>
    </row>
    <row r="44" spans="1:8" x14ac:dyDescent="0.3">
      <c r="A44" t="s">
        <v>833</v>
      </c>
      <c r="B44" t="s">
        <v>130</v>
      </c>
      <c r="C44">
        <v>0.6</v>
      </c>
      <c r="D44">
        <v>73</v>
      </c>
      <c r="E44">
        <v>1003</v>
      </c>
      <c r="F44">
        <v>78.8</v>
      </c>
      <c r="G44" t="s">
        <v>0</v>
      </c>
      <c r="H44">
        <f t="shared" si="0"/>
        <v>7.278165503489531E-2</v>
      </c>
    </row>
    <row r="45" spans="1:8" x14ac:dyDescent="0.3">
      <c r="A45" t="s">
        <v>793</v>
      </c>
      <c r="B45" t="s">
        <v>130</v>
      </c>
      <c r="C45">
        <v>0.6</v>
      </c>
      <c r="D45">
        <v>75</v>
      </c>
      <c r="E45">
        <v>1003</v>
      </c>
      <c r="F45">
        <v>51.9</v>
      </c>
      <c r="G45" t="s">
        <v>0</v>
      </c>
      <c r="H45">
        <f t="shared" si="0"/>
        <v>7.4775672981056834E-2</v>
      </c>
    </row>
    <row r="46" spans="1:8" x14ac:dyDescent="0.3">
      <c r="A46" t="s">
        <v>753</v>
      </c>
      <c r="B46" t="s">
        <v>130</v>
      </c>
      <c r="C46">
        <v>0.6</v>
      </c>
      <c r="D46">
        <v>74</v>
      </c>
      <c r="E46">
        <v>1004</v>
      </c>
      <c r="F46">
        <v>71.900000000000006</v>
      </c>
      <c r="G46" t="s">
        <v>0</v>
      </c>
      <c r="H46">
        <f t="shared" si="0"/>
        <v>7.370517928286853E-2</v>
      </c>
    </row>
    <row r="47" spans="1:8" x14ac:dyDescent="0.3">
      <c r="A47" t="s">
        <v>829</v>
      </c>
      <c r="B47" t="s">
        <v>130</v>
      </c>
      <c r="C47">
        <v>0.6</v>
      </c>
      <c r="D47">
        <v>74</v>
      </c>
      <c r="E47">
        <v>1001</v>
      </c>
      <c r="F47">
        <v>56.9</v>
      </c>
      <c r="G47" t="s">
        <v>0</v>
      </c>
      <c r="H47">
        <f t="shared" si="0"/>
        <v>7.3926073926073921E-2</v>
      </c>
    </row>
    <row r="48" spans="1:8" x14ac:dyDescent="0.3">
      <c r="A48" t="s">
        <v>789</v>
      </c>
      <c r="B48" t="s">
        <v>130</v>
      </c>
      <c r="C48">
        <v>0.6</v>
      </c>
      <c r="D48">
        <v>74</v>
      </c>
      <c r="E48">
        <v>1001</v>
      </c>
      <c r="F48">
        <v>70.2</v>
      </c>
      <c r="G48" t="s">
        <v>0</v>
      </c>
      <c r="H48">
        <f t="shared" si="0"/>
        <v>7.3926073926073921E-2</v>
      </c>
    </row>
    <row r="49" spans="1:8" x14ac:dyDescent="0.3">
      <c r="A49" t="s">
        <v>749</v>
      </c>
      <c r="B49" t="s">
        <v>130</v>
      </c>
      <c r="C49">
        <v>0.6</v>
      </c>
      <c r="D49">
        <v>75</v>
      </c>
      <c r="E49">
        <v>1002</v>
      </c>
      <c r="F49">
        <v>45.5</v>
      </c>
      <c r="G49" t="s">
        <v>0</v>
      </c>
      <c r="H49">
        <f t="shared" si="0"/>
        <v>7.4850299401197598E-2</v>
      </c>
    </row>
    <row r="50" spans="1:8" x14ac:dyDescent="0.3">
      <c r="A50" t="s">
        <v>825</v>
      </c>
      <c r="B50" t="s">
        <v>130</v>
      </c>
      <c r="C50">
        <v>0.6</v>
      </c>
      <c r="D50">
        <v>72</v>
      </c>
      <c r="E50">
        <v>1005</v>
      </c>
      <c r="F50">
        <v>58.3</v>
      </c>
      <c r="G50" t="s">
        <v>0</v>
      </c>
      <c r="H50">
        <f t="shared" si="0"/>
        <v>7.1641791044776124E-2</v>
      </c>
    </row>
    <row r="51" spans="1:8" x14ac:dyDescent="0.3">
      <c r="A51" t="s">
        <v>785</v>
      </c>
      <c r="B51" t="s">
        <v>130</v>
      </c>
      <c r="C51">
        <v>0.6</v>
      </c>
      <c r="D51">
        <v>73</v>
      </c>
      <c r="E51">
        <v>1000</v>
      </c>
      <c r="F51">
        <v>67.400000000000006</v>
      </c>
      <c r="G51" t="s">
        <v>0</v>
      </c>
      <c r="H51">
        <f t="shared" si="0"/>
        <v>7.2999999999999995E-2</v>
      </c>
    </row>
    <row r="52" spans="1:8" x14ac:dyDescent="0.3">
      <c r="A52" t="s">
        <v>745</v>
      </c>
      <c r="B52" t="s">
        <v>130</v>
      </c>
      <c r="C52">
        <v>0.6</v>
      </c>
      <c r="D52">
        <v>75</v>
      </c>
      <c r="E52">
        <v>1010</v>
      </c>
      <c r="F52">
        <v>60</v>
      </c>
      <c r="G52" t="s">
        <v>0</v>
      </c>
      <c r="H52">
        <f t="shared" si="0"/>
        <v>7.4257425742574254E-2</v>
      </c>
    </row>
    <row r="53" spans="1:8" x14ac:dyDescent="0.3">
      <c r="A53" t="s">
        <v>821</v>
      </c>
      <c r="B53" t="s">
        <v>130</v>
      </c>
      <c r="C53">
        <v>0.6</v>
      </c>
      <c r="D53">
        <v>71</v>
      </c>
      <c r="E53">
        <v>1001</v>
      </c>
      <c r="F53">
        <v>60.4</v>
      </c>
      <c r="G53" t="s">
        <v>0</v>
      </c>
      <c r="H53">
        <f t="shared" si="0"/>
        <v>7.0929070929070928E-2</v>
      </c>
    </row>
    <row r="54" spans="1:8" x14ac:dyDescent="0.3">
      <c r="A54" t="s">
        <v>781</v>
      </c>
      <c r="B54" t="s">
        <v>130</v>
      </c>
      <c r="C54">
        <v>0.6</v>
      </c>
      <c r="D54">
        <v>74</v>
      </c>
      <c r="E54">
        <v>1000</v>
      </c>
      <c r="F54">
        <v>64.8</v>
      </c>
      <c r="G54" t="s">
        <v>0</v>
      </c>
      <c r="H54">
        <f t="shared" si="0"/>
        <v>7.3999999999999996E-2</v>
      </c>
    </row>
    <row r="55" spans="1:8" x14ac:dyDescent="0.3">
      <c r="A55" t="s">
        <v>741</v>
      </c>
      <c r="B55" t="s">
        <v>130</v>
      </c>
      <c r="C55">
        <v>0.6</v>
      </c>
      <c r="D55">
        <v>73</v>
      </c>
      <c r="E55">
        <v>1006</v>
      </c>
      <c r="F55">
        <v>70.900000000000006</v>
      </c>
      <c r="G55" t="s">
        <v>0</v>
      </c>
      <c r="H55">
        <f t="shared" si="0"/>
        <v>7.2564612326043734E-2</v>
      </c>
    </row>
    <row r="56" spans="1:8" x14ac:dyDescent="0.3">
      <c r="A56" t="s">
        <v>817</v>
      </c>
      <c r="B56" t="s">
        <v>130</v>
      </c>
      <c r="C56">
        <v>0.6</v>
      </c>
      <c r="D56">
        <v>72</v>
      </c>
      <c r="E56">
        <v>1000</v>
      </c>
      <c r="F56">
        <v>87.2</v>
      </c>
      <c r="G56" t="s">
        <v>9</v>
      </c>
      <c r="H56">
        <f t="shared" si="0"/>
        <v>7.1999999999999995E-2</v>
      </c>
    </row>
    <row r="57" spans="1:8" x14ac:dyDescent="0.3">
      <c r="A57" t="s">
        <v>777</v>
      </c>
      <c r="B57" t="s">
        <v>130</v>
      </c>
      <c r="C57">
        <v>0.6</v>
      </c>
      <c r="D57">
        <v>73</v>
      </c>
      <c r="E57">
        <v>1008</v>
      </c>
      <c r="F57">
        <v>88.1</v>
      </c>
      <c r="G57" t="s">
        <v>9</v>
      </c>
      <c r="H57">
        <f t="shared" si="0"/>
        <v>7.2420634920634927E-2</v>
      </c>
    </row>
    <row r="58" spans="1:8" x14ac:dyDescent="0.3">
      <c r="A58" t="s">
        <v>737</v>
      </c>
      <c r="B58" t="s">
        <v>130</v>
      </c>
      <c r="C58">
        <v>0.6</v>
      </c>
      <c r="D58">
        <v>75</v>
      </c>
      <c r="E58">
        <v>1000</v>
      </c>
      <c r="F58">
        <v>72.8</v>
      </c>
      <c r="G58" t="s">
        <v>0</v>
      </c>
      <c r="H58">
        <f t="shared" si="0"/>
        <v>7.4999999999999997E-2</v>
      </c>
    </row>
    <row r="59" spans="1:8" x14ac:dyDescent="0.3">
      <c r="A59" t="s">
        <v>813</v>
      </c>
      <c r="B59" t="s">
        <v>130</v>
      </c>
      <c r="C59">
        <v>0.6</v>
      </c>
      <c r="D59">
        <v>74</v>
      </c>
      <c r="E59">
        <v>1000</v>
      </c>
      <c r="F59">
        <v>61.7</v>
      </c>
      <c r="G59" t="s">
        <v>0</v>
      </c>
      <c r="H59">
        <f t="shared" si="0"/>
        <v>7.3999999999999996E-2</v>
      </c>
    </row>
    <row r="60" spans="1:8" x14ac:dyDescent="0.3">
      <c r="A60" t="s">
        <v>773</v>
      </c>
      <c r="B60" t="s">
        <v>130</v>
      </c>
      <c r="C60">
        <v>0.6</v>
      </c>
      <c r="D60">
        <v>72</v>
      </c>
      <c r="E60">
        <v>1002</v>
      </c>
      <c r="F60">
        <v>97.6</v>
      </c>
      <c r="G60" t="s">
        <v>9</v>
      </c>
      <c r="H60">
        <f t="shared" si="0"/>
        <v>7.1856287425149698E-2</v>
      </c>
    </row>
    <row r="61" spans="1:8" x14ac:dyDescent="0.3">
      <c r="A61" t="s">
        <v>733</v>
      </c>
      <c r="B61" t="s">
        <v>130</v>
      </c>
      <c r="C61">
        <v>0.6</v>
      </c>
      <c r="D61">
        <v>74</v>
      </c>
      <c r="E61">
        <v>1003</v>
      </c>
      <c r="F61">
        <v>72.7</v>
      </c>
      <c r="G61" t="s">
        <v>0</v>
      </c>
      <c r="H61">
        <f t="shared" si="0"/>
        <v>7.3778664007976072E-2</v>
      </c>
    </row>
    <row r="62" spans="1:8" x14ac:dyDescent="0.3">
      <c r="A62" t="s">
        <v>844</v>
      </c>
      <c r="B62" t="s">
        <v>130</v>
      </c>
      <c r="C62">
        <v>0.89999999999999902</v>
      </c>
      <c r="D62">
        <v>103</v>
      </c>
      <c r="E62">
        <v>1006</v>
      </c>
      <c r="F62">
        <v>77.599999999999994</v>
      </c>
      <c r="G62" t="s">
        <v>0</v>
      </c>
      <c r="H62">
        <f t="shared" si="0"/>
        <v>0.10238568588469185</v>
      </c>
    </row>
    <row r="63" spans="1:8" x14ac:dyDescent="0.3">
      <c r="A63" t="s">
        <v>804</v>
      </c>
      <c r="B63" t="s">
        <v>130</v>
      </c>
      <c r="C63">
        <v>0.89999999999999902</v>
      </c>
      <c r="D63">
        <v>104</v>
      </c>
      <c r="E63">
        <v>1000</v>
      </c>
      <c r="F63">
        <v>44</v>
      </c>
      <c r="G63" t="s">
        <v>0</v>
      </c>
      <c r="H63">
        <f t="shared" si="0"/>
        <v>0.104</v>
      </c>
    </row>
    <row r="64" spans="1:8" x14ac:dyDescent="0.3">
      <c r="A64" t="s">
        <v>764</v>
      </c>
      <c r="B64" t="s">
        <v>130</v>
      </c>
      <c r="C64">
        <v>0.89999999999999902</v>
      </c>
      <c r="D64">
        <v>101</v>
      </c>
      <c r="E64">
        <v>1001</v>
      </c>
      <c r="F64">
        <v>37.1</v>
      </c>
      <c r="G64" t="s">
        <v>0</v>
      </c>
      <c r="H64">
        <f t="shared" si="0"/>
        <v>0.1008991008991009</v>
      </c>
    </row>
    <row r="65" spans="1:8" x14ac:dyDescent="0.3">
      <c r="A65" t="s">
        <v>848</v>
      </c>
      <c r="B65" t="s">
        <v>130</v>
      </c>
      <c r="C65">
        <v>0.89999999999999902</v>
      </c>
      <c r="D65">
        <v>103</v>
      </c>
      <c r="E65">
        <v>1000</v>
      </c>
      <c r="F65">
        <v>57</v>
      </c>
      <c r="G65" t="s">
        <v>0</v>
      </c>
      <c r="H65">
        <f t="shared" si="0"/>
        <v>0.10299999999999999</v>
      </c>
    </row>
    <row r="66" spans="1:8" x14ac:dyDescent="0.3">
      <c r="A66" t="s">
        <v>808</v>
      </c>
      <c r="B66" t="s">
        <v>130</v>
      </c>
      <c r="C66">
        <v>0.89999999999999902</v>
      </c>
      <c r="D66">
        <v>105</v>
      </c>
      <c r="E66">
        <v>1001</v>
      </c>
      <c r="F66">
        <v>88.6</v>
      </c>
      <c r="G66" t="s">
        <v>9</v>
      </c>
      <c r="H66">
        <f t="shared" si="0"/>
        <v>0.1048951048951049</v>
      </c>
    </row>
    <row r="67" spans="1:8" x14ac:dyDescent="0.3">
      <c r="A67" t="s">
        <v>768</v>
      </c>
      <c r="B67" t="s">
        <v>130</v>
      </c>
      <c r="C67">
        <v>0.89999999999999902</v>
      </c>
      <c r="D67">
        <v>102</v>
      </c>
      <c r="E67">
        <v>1000</v>
      </c>
      <c r="F67">
        <v>35.299999999999997</v>
      </c>
      <c r="G67" t="s">
        <v>0</v>
      </c>
      <c r="H67">
        <f t="shared" ref="H67:H121" si="1">D67/E67</f>
        <v>0.10199999999999999</v>
      </c>
    </row>
    <row r="68" spans="1:8" x14ac:dyDescent="0.3">
      <c r="A68" t="s">
        <v>840</v>
      </c>
      <c r="B68" t="s">
        <v>130</v>
      </c>
      <c r="C68">
        <v>0.89999999999999902</v>
      </c>
      <c r="D68">
        <v>104</v>
      </c>
      <c r="E68">
        <v>1000</v>
      </c>
      <c r="F68">
        <v>31.3</v>
      </c>
      <c r="G68" t="s">
        <v>0</v>
      </c>
      <c r="H68">
        <f t="shared" si="1"/>
        <v>0.104</v>
      </c>
    </row>
    <row r="69" spans="1:8" x14ac:dyDescent="0.3">
      <c r="A69" t="s">
        <v>800</v>
      </c>
      <c r="B69" t="s">
        <v>130</v>
      </c>
      <c r="C69">
        <v>0.89999999999999902</v>
      </c>
      <c r="D69">
        <v>103</v>
      </c>
      <c r="E69">
        <v>998</v>
      </c>
      <c r="F69">
        <v>78</v>
      </c>
      <c r="G69" t="s">
        <v>0</v>
      </c>
      <c r="H69">
        <f t="shared" si="1"/>
        <v>0.10320641282565131</v>
      </c>
    </row>
    <row r="70" spans="1:8" x14ac:dyDescent="0.3">
      <c r="A70" t="s">
        <v>760</v>
      </c>
      <c r="B70" t="s">
        <v>130</v>
      </c>
      <c r="C70">
        <v>0.89999999999999902</v>
      </c>
      <c r="D70">
        <v>104</v>
      </c>
      <c r="E70">
        <v>1000</v>
      </c>
      <c r="F70">
        <v>35.799999999999997</v>
      </c>
      <c r="G70" t="s">
        <v>0</v>
      </c>
      <c r="H70">
        <f t="shared" si="1"/>
        <v>0.104</v>
      </c>
    </row>
    <row r="71" spans="1:8" x14ac:dyDescent="0.3">
      <c r="A71" t="s">
        <v>836</v>
      </c>
      <c r="B71" t="s">
        <v>130</v>
      </c>
      <c r="C71">
        <v>0.89999999999999902</v>
      </c>
      <c r="D71">
        <v>102</v>
      </c>
      <c r="E71">
        <v>1002</v>
      </c>
      <c r="F71">
        <v>65.7</v>
      </c>
      <c r="G71" t="s">
        <v>0</v>
      </c>
      <c r="H71">
        <f t="shared" si="1"/>
        <v>0.10179640718562874</v>
      </c>
    </row>
    <row r="72" spans="1:8" x14ac:dyDescent="0.3">
      <c r="A72" t="s">
        <v>796</v>
      </c>
      <c r="B72" t="s">
        <v>130</v>
      </c>
      <c r="C72">
        <v>0.89999999999999902</v>
      </c>
      <c r="D72">
        <v>104</v>
      </c>
      <c r="E72">
        <v>1000</v>
      </c>
      <c r="F72">
        <v>64.5</v>
      </c>
      <c r="G72" t="s">
        <v>0</v>
      </c>
      <c r="H72">
        <f t="shared" si="1"/>
        <v>0.104</v>
      </c>
    </row>
    <row r="73" spans="1:8" x14ac:dyDescent="0.3">
      <c r="A73" t="s">
        <v>756</v>
      </c>
      <c r="B73" t="s">
        <v>130</v>
      </c>
      <c r="C73">
        <v>0.89999999999999902</v>
      </c>
      <c r="D73">
        <v>103</v>
      </c>
      <c r="E73">
        <v>1000</v>
      </c>
      <c r="F73">
        <v>34.200000000000003</v>
      </c>
      <c r="G73" t="s">
        <v>0</v>
      </c>
      <c r="H73">
        <f t="shared" si="1"/>
        <v>0.10299999999999999</v>
      </c>
    </row>
    <row r="74" spans="1:8" x14ac:dyDescent="0.3">
      <c r="A74" t="s">
        <v>832</v>
      </c>
      <c r="B74" t="s">
        <v>130</v>
      </c>
      <c r="C74">
        <v>0.89999999999999902</v>
      </c>
      <c r="D74">
        <v>103</v>
      </c>
      <c r="E74">
        <v>1003</v>
      </c>
      <c r="F74">
        <v>57.3</v>
      </c>
      <c r="G74" t="s">
        <v>0</v>
      </c>
      <c r="H74">
        <f t="shared" si="1"/>
        <v>0.10269192422731804</v>
      </c>
    </row>
    <row r="75" spans="1:8" x14ac:dyDescent="0.3">
      <c r="A75" t="s">
        <v>792</v>
      </c>
      <c r="B75" t="s">
        <v>130</v>
      </c>
      <c r="C75">
        <v>0.89999999999999902</v>
      </c>
      <c r="D75">
        <v>105</v>
      </c>
      <c r="E75">
        <v>1003</v>
      </c>
      <c r="F75">
        <v>53.4</v>
      </c>
      <c r="G75" t="s">
        <v>0</v>
      </c>
      <c r="H75">
        <f t="shared" si="1"/>
        <v>0.10468594217347957</v>
      </c>
    </row>
    <row r="76" spans="1:8" x14ac:dyDescent="0.3">
      <c r="A76" t="s">
        <v>752</v>
      </c>
      <c r="B76" t="s">
        <v>130</v>
      </c>
      <c r="C76">
        <v>0.89999999999999902</v>
      </c>
      <c r="D76">
        <v>104</v>
      </c>
      <c r="E76">
        <v>1004</v>
      </c>
      <c r="F76">
        <v>50.3</v>
      </c>
      <c r="G76" t="s">
        <v>0</v>
      </c>
      <c r="H76">
        <f t="shared" si="1"/>
        <v>0.10358565737051793</v>
      </c>
    </row>
    <row r="77" spans="1:8" x14ac:dyDescent="0.3">
      <c r="A77" t="s">
        <v>828</v>
      </c>
      <c r="B77" t="s">
        <v>130</v>
      </c>
      <c r="C77">
        <v>0.89999999999999902</v>
      </c>
      <c r="D77">
        <v>104</v>
      </c>
      <c r="E77">
        <v>1001</v>
      </c>
      <c r="F77">
        <v>44.1</v>
      </c>
      <c r="G77" t="s">
        <v>0</v>
      </c>
      <c r="H77">
        <f t="shared" si="1"/>
        <v>0.1038961038961039</v>
      </c>
    </row>
    <row r="78" spans="1:8" x14ac:dyDescent="0.3">
      <c r="A78" t="s">
        <v>788</v>
      </c>
      <c r="B78" t="s">
        <v>130</v>
      </c>
      <c r="C78">
        <v>0.89999999999999902</v>
      </c>
      <c r="D78">
        <v>104</v>
      </c>
      <c r="E78">
        <v>1001</v>
      </c>
      <c r="F78">
        <v>58</v>
      </c>
      <c r="G78" t="s">
        <v>0</v>
      </c>
      <c r="H78">
        <f t="shared" si="1"/>
        <v>0.1038961038961039</v>
      </c>
    </row>
    <row r="79" spans="1:8" x14ac:dyDescent="0.3">
      <c r="A79" t="s">
        <v>748</v>
      </c>
      <c r="B79" t="s">
        <v>130</v>
      </c>
      <c r="C79">
        <v>0.89999999999999902</v>
      </c>
      <c r="D79">
        <v>105</v>
      </c>
      <c r="E79">
        <v>1002</v>
      </c>
      <c r="F79">
        <v>39.799999999999997</v>
      </c>
      <c r="G79" t="s">
        <v>0</v>
      </c>
      <c r="H79">
        <f t="shared" si="1"/>
        <v>0.10479041916167664</v>
      </c>
    </row>
    <row r="80" spans="1:8" x14ac:dyDescent="0.3">
      <c r="A80" t="s">
        <v>824</v>
      </c>
      <c r="B80" t="s">
        <v>130</v>
      </c>
      <c r="C80">
        <v>0.89999999999999902</v>
      </c>
      <c r="D80">
        <v>102</v>
      </c>
      <c r="E80">
        <v>1005</v>
      </c>
      <c r="F80">
        <v>44.3</v>
      </c>
      <c r="G80" t="s">
        <v>0</v>
      </c>
      <c r="H80">
        <f t="shared" si="1"/>
        <v>0.10149253731343283</v>
      </c>
    </row>
    <row r="81" spans="1:8" x14ac:dyDescent="0.3">
      <c r="A81" t="s">
        <v>784</v>
      </c>
      <c r="B81" t="s">
        <v>130</v>
      </c>
      <c r="C81">
        <v>0.89999999999999902</v>
      </c>
      <c r="D81">
        <v>103</v>
      </c>
      <c r="E81">
        <v>1000</v>
      </c>
      <c r="F81">
        <v>51</v>
      </c>
      <c r="G81" t="s">
        <v>0</v>
      </c>
      <c r="H81">
        <f t="shared" si="1"/>
        <v>0.10299999999999999</v>
      </c>
    </row>
    <row r="82" spans="1:8" x14ac:dyDescent="0.3">
      <c r="A82" t="s">
        <v>744</v>
      </c>
      <c r="B82" t="s">
        <v>130</v>
      </c>
      <c r="C82">
        <v>0.89999999999999902</v>
      </c>
      <c r="D82">
        <v>105</v>
      </c>
      <c r="E82">
        <v>1010</v>
      </c>
      <c r="F82">
        <v>55</v>
      </c>
      <c r="G82" t="s">
        <v>0</v>
      </c>
      <c r="H82">
        <f t="shared" si="1"/>
        <v>0.10396039603960396</v>
      </c>
    </row>
    <row r="83" spans="1:8" x14ac:dyDescent="0.3">
      <c r="A83" t="s">
        <v>820</v>
      </c>
      <c r="B83" t="s">
        <v>130</v>
      </c>
      <c r="C83">
        <v>0.89999999999999902</v>
      </c>
      <c r="D83">
        <v>101</v>
      </c>
      <c r="E83">
        <v>1001</v>
      </c>
      <c r="F83">
        <v>47.2</v>
      </c>
      <c r="G83" t="s">
        <v>0</v>
      </c>
      <c r="H83">
        <f t="shared" si="1"/>
        <v>0.1008991008991009</v>
      </c>
    </row>
    <row r="84" spans="1:8" x14ac:dyDescent="0.3">
      <c r="A84" t="s">
        <v>780</v>
      </c>
      <c r="B84" t="s">
        <v>130</v>
      </c>
      <c r="C84">
        <v>0.89999999999999902</v>
      </c>
      <c r="D84">
        <v>104</v>
      </c>
      <c r="E84">
        <v>1000</v>
      </c>
      <c r="F84">
        <v>55.4</v>
      </c>
      <c r="G84" t="s">
        <v>0</v>
      </c>
      <c r="H84">
        <f t="shared" si="1"/>
        <v>0.104</v>
      </c>
    </row>
    <row r="85" spans="1:8" x14ac:dyDescent="0.3">
      <c r="A85" t="s">
        <v>740</v>
      </c>
      <c r="B85" t="s">
        <v>130</v>
      </c>
      <c r="C85">
        <v>0.89999999999999902</v>
      </c>
      <c r="D85">
        <v>103</v>
      </c>
      <c r="E85">
        <v>1006</v>
      </c>
      <c r="F85">
        <v>60.9</v>
      </c>
      <c r="G85" t="s">
        <v>0</v>
      </c>
      <c r="H85">
        <f t="shared" si="1"/>
        <v>0.10238568588469185</v>
      </c>
    </row>
    <row r="86" spans="1:8" x14ac:dyDescent="0.3">
      <c r="A86" t="s">
        <v>816</v>
      </c>
      <c r="B86" t="s">
        <v>130</v>
      </c>
      <c r="C86">
        <v>0.89999999999999902</v>
      </c>
      <c r="D86">
        <v>102</v>
      </c>
      <c r="E86">
        <v>1000</v>
      </c>
      <c r="F86">
        <v>58</v>
      </c>
      <c r="G86" t="s">
        <v>0</v>
      </c>
      <c r="H86">
        <f t="shared" si="1"/>
        <v>0.10199999999999999</v>
      </c>
    </row>
    <row r="87" spans="1:8" x14ac:dyDescent="0.3">
      <c r="A87" t="s">
        <v>776</v>
      </c>
      <c r="B87" t="s">
        <v>130</v>
      </c>
      <c r="C87">
        <v>0.89999999999999902</v>
      </c>
      <c r="D87">
        <v>103</v>
      </c>
      <c r="E87">
        <v>1008</v>
      </c>
      <c r="F87">
        <v>61</v>
      </c>
      <c r="G87" t="s">
        <v>0</v>
      </c>
      <c r="H87">
        <f t="shared" si="1"/>
        <v>0.10218253968253968</v>
      </c>
    </row>
    <row r="88" spans="1:8" x14ac:dyDescent="0.3">
      <c r="A88" t="s">
        <v>736</v>
      </c>
      <c r="B88" t="s">
        <v>130</v>
      </c>
      <c r="C88">
        <v>0.89999999999999902</v>
      </c>
      <c r="D88">
        <v>105</v>
      </c>
      <c r="E88">
        <v>1000</v>
      </c>
      <c r="F88">
        <v>56.3</v>
      </c>
      <c r="G88" t="s">
        <v>0</v>
      </c>
      <c r="H88">
        <f t="shared" si="1"/>
        <v>0.105</v>
      </c>
    </row>
    <row r="89" spans="1:8" x14ac:dyDescent="0.3">
      <c r="A89" t="s">
        <v>812</v>
      </c>
      <c r="B89" t="s">
        <v>130</v>
      </c>
      <c r="C89">
        <v>0.89999999999999902</v>
      </c>
      <c r="D89">
        <v>104</v>
      </c>
      <c r="E89">
        <v>1000</v>
      </c>
      <c r="F89">
        <v>47.6</v>
      </c>
      <c r="G89" t="s">
        <v>0</v>
      </c>
      <c r="H89">
        <f t="shared" si="1"/>
        <v>0.104</v>
      </c>
    </row>
    <row r="90" spans="1:8" x14ac:dyDescent="0.3">
      <c r="A90" t="s">
        <v>772</v>
      </c>
      <c r="B90" t="s">
        <v>130</v>
      </c>
      <c r="C90">
        <v>0.89999999999999902</v>
      </c>
      <c r="D90">
        <v>102</v>
      </c>
      <c r="E90">
        <v>1002</v>
      </c>
      <c r="F90">
        <v>64.8</v>
      </c>
      <c r="G90" t="s">
        <v>0</v>
      </c>
      <c r="H90">
        <f t="shared" si="1"/>
        <v>0.10179640718562874</v>
      </c>
    </row>
    <row r="91" spans="1:8" x14ac:dyDescent="0.3">
      <c r="A91" t="s">
        <v>732</v>
      </c>
      <c r="B91" t="s">
        <v>130</v>
      </c>
      <c r="C91">
        <v>0.89999999999999902</v>
      </c>
      <c r="D91">
        <v>104</v>
      </c>
      <c r="E91">
        <v>1003</v>
      </c>
      <c r="F91">
        <v>57.3</v>
      </c>
      <c r="G91" t="s">
        <v>0</v>
      </c>
      <c r="H91">
        <f t="shared" si="1"/>
        <v>0.10368893320039881</v>
      </c>
    </row>
    <row r="92" spans="1:8" x14ac:dyDescent="0.3">
      <c r="A92" t="s">
        <v>843</v>
      </c>
      <c r="B92" t="s">
        <v>130</v>
      </c>
      <c r="C92">
        <v>1.2</v>
      </c>
      <c r="D92">
        <v>133</v>
      </c>
      <c r="E92">
        <v>1006</v>
      </c>
      <c r="F92">
        <v>41.8</v>
      </c>
      <c r="G92" t="s">
        <v>0</v>
      </c>
      <c r="H92">
        <f t="shared" si="1"/>
        <v>0.13220675944333996</v>
      </c>
    </row>
    <row r="93" spans="1:8" x14ac:dyDescent="0.3">
      <c r="A93" t="s">
        <v>803</v>
      </c>
      <c r="B93" t="s">
        <v>130</v>
      </c>
      <c r="C93">
        <v>1.2</v>
      </c>
      <c r="D93">
        <v>134</v>
      </c>
      <c r="E93">
        <v>1000</v>
      </c>
      <c r="F93">
        <v>44.4</v>
      </c>
      <c r="G93" t="s">
        <v>0</v>
      </c>
      <c r="H93">
        <f t="shared" si="1"/>
        <v>0.13400000000000001</v>
      </c>
    </row>
    <row r="94" spans="1:8" x14ac:dyDescent="0.3">
      <c r="A94" t="s">
        <v>763</v>
      </c>
      <c r="B94" t="s">
        <v>130</v>
      </c>
      <c r="C94">
        <v>1.2</v>
      </c>
      <c r="D94">
        <v>131</v>
      </c>
      <c r="E94">
        <v>1001</v>
      </c>
      <c r="F94">
        <v>49.6</v>
      </c>
      <c r="G94" t="s">
        <v>0</v>
      </c>
      <c r="H94">
        <f t="shared" si="1"/>
        <v>0.13086913086913088</v>
      </c>
    </row>
    <row r="95" spans="1:8" x14ac:dyDescent="0.3">
      <c r="A95" t="s">
        <v>847</v>
      </c>
      <c r="B95" t="s">
        <v>130</v>
      </c>
      <c r="C95">
        <v>1.2</v>
      </c>
      <c r="D95">
        <v>133</v>
      </c>
      <c r="E95">
        <v>1000</v>
      </c>
      <c r="F95">
        <v>42.3</v>
      </c>
      <c r="G95" t="s">
        <v>0</v>
      </c>
      <c r="H95">
        <f t="shared" si="1"/>
        <v>0.13300000000000001</v>
      </c>
    </row>
    <row r="96" spans="1:8" x14ac:dyDescent="0.3">
      <c r="A96" t="s">
        <v>807</v>
      </c>
      <c r="B96" t="s">
        <v>130</v>
      </c>
      <c r="C96">
        <v>1.2</v>
      </c>
      <c r="D96">
        <v>135</v>
      </c>
      <c r="E96">
        <v>1001</v>
      </c>
      <c r="F96">
        <v>60.6</v>
      </c>
      <c r="G96" t="s">
        <v>0</v>
      </c>
      <c r="H96">
        <f t="shared" si="1"/>
        <v>0.13486513486513488</v>
      </c>
    </row>
    <row r="97" spans="1:8" x14ac:dyDescent="0.3">
      <c r="A97" t="s">
        <v>767</v>
      </c>
      <c r="B97" t="s">
        <v>130</v>
      </c>
      <c r="C97">
        <v>1.2</v>
      </c>
      <c r="D97">
        <v>132</v>
      </c>
      <c r="E97">
        <v>1000</v>
      </c>
      <c r="F97">
        <v>34.9</v>
      </c>
      <c r="G97" t="s">
        <v>0</v>
      </c>
      <c r="H97">
        <f t="shared" si="1"/>
        <v>0.13200000000000001</v>
      </c>
    </row>
    <row r="98" spans="1:8" x14ac:dyDescent="0.3">
      <c r="A98" t="s">
        <v>839</v>
      </c>
      <c r="B98" t="s">
        <v>130</v>
      </c>
      <c r="C98">
        <v>1.2</v>
      </c>
      <c r="D98">
        <v>134</v>
      </c>
      <c r="E98">
        <v>1000</v>
      </c>
      <c r="F98">
        <v>31</v>
      </c>
      <c r="G98" t="s">
        <v>0</v>
      </c>
      <c r="H98">
        <f t="shared" si="1"/>
        <v>0.13400000000000001</v>
      </c>
    </row>
    <row r="99" spans="1:8" x14ac:dyDescent="0.3">
      <c r="A99" t="s">
        <v>799</v>
      </c>
      <c r="B99" t="s">
        <v>130</v>
      </c>
      <c r="C99">
        <v>1.2</v>
      </c>
      <c r="D99">
        <v>133</v>
      </c>
      <c r="E99">
        <v>998</v>
      </c>
      <c r="F99">
        <v>50.3</v>
      </c>
      <c r="G99" t="s">
        <v>0</v>
      </c>
      <c r="H99">
        <f t="shared" si="1"/>
        <v>0.13326653306613226</v>
      </c>
    </row>
    <row r="100" spans="1:8" x14ac:dyDescent="0.3">
      <c r="A100" t="s">
        <v>759</v>
      </c>
      <c r="B100" t="s">
        <v>130</v>
      </c>
      <c r="C100">
        <v>1.2</v>
      </c>
      <c r="D100">
        <v>134</v>
      </c>
      <c r="E100">
        <v>1000</v>
      </c>
      <c r="F100">
        <v>40.5</v>
      </c>
      <c r="G100" t="s">
        <v>0</v>
      </c>
      <c r="H100">
        <f t="shared" si="1"/>
        <v>0.13400000000000001</v>
      </c>
    </row>
    <row r="101" spans="1:8" x14ac:dyDescent="0.3">
      <c r="A101" t="s">
        <v>835</v>
      </c>
      <c r="B101" t="s">
        <v>130</v>
      </c>
      <c r="C101">
        <v>1.2</v>
      </c>
      <c r="D101">
        <v>132</v>
      </c>
      <c r="E101">
        <v>1002</v>
      </c>
      <c r="F101">
        <v>49</v>
      </c>
      <c r="G101" t="s">
        <v>0</v>
      </c>
      <c r="H101">
        <f t="shared" si="1"/>
        <v>0.1317365269461078</v>
      </c>
    </row>
    <row r="102" spans="1:8" x14ac:dyDescent="0.3">
      <c r="A102" t="s">
        <v>795</v>
      </c>
      <c r="B102" t="s">
        <v>130</v>
      </c>
      <c r="C102">
        <v>1.2</v>
      </c>
      <c r="D102">
        <v>134</v>
      </c>
      <c r="E102">
        <v>1000</v>
      </c>
      <c r="F102">
        <v>50</v>
      </c>
      <c r="G102" t="s">
        <v>0</v>
      </c>
      <c r="H102">
        <f t="shared" si="1"/>
        <v>0.13400000000000001</v>
      </c>
    </row>
    <row r="103" spans="1:8" x14ac:dyDescent="0.3">
      <c r="A103" t="s">
        <v>755</v>
      </c>
      <c r="B103" t="s">
        <v>130</v>
      </c>
      <c r="C103">
        <v>1.2</v>
      </c>
      <c r="D103">
        <v>133</v>
      </c>
      <c r="E103">
        <v>1000</v>
      </c>
      <c r="F103">
        <v>37.200000000000003</v>
      </c>
      <c r="G103" t="s">
        <v>0</v>
      </c>
      <c r="H103">
        <f t="shared" si="1"/>
        <v>0.13300000000000001</v>
      </c>
    </row>
    <row r="104" spans="1:8" x14ac:dyDescent="0.3">
      <c r="A104" t="s">
        <v>831</v>
      </c>
      <c r="B104" t="s">
        <v>130</v>
      </c>
      <c r="C104">
        <v>1.2</v>
      </c>
      <c r="D104">
        <v>133</v>
      </c>
      <c r="E104">
        <v>1003</v>
      </c>
      <c r="F104">
        <v>47.4</v>
      </c>
      <c r="G104" t="s">
        <v>0</v>
      </c>
      <c r="H104">
        <f t="shared" si="1"/>
        <v>0.13260219341974078</v>
      </c>
    </row>
    <row r="105" spans="1:8" x14ac:dyDescent="0.3">
      <c r="A105" t="s">
        <v>791</v>
      </c>
      <c r="B105" t="s">
        <v>130</v>
      </c>
      <c r="C105">
        <v>1.2</v>
      </c>
      <c r="D105">
        <v>134</v>
      </c>
      <c r="E105">
        <v>1003</v>
      </c>
      <c r="F105">
        <v>38.9</v>
      </c>
      <c r="G105" t="s">
        <v>0</v>
      </c>
      <c r="H105">
        <f t="shared" si="1"/>
        <v>0.13359920239282153</v>
      </c>
    </row>
    <row r="106" spans="1:8" x14ac:dyDescent="0.3">
      <c r="A106" t="s">
        <v>751</v>
      </c>
      <c r="B106" t="s">
        <v>130</v>
      </c>
      <c r="C106">
        <v>1.2</v>
      </c>
      <c r="D106">
        <v>134</v>
      </c>
      <c r="E106">
        <v>1004</v>
      </c>
      <c r="F106">
        <v>37.700000000000003</v>
      </c>
      <c r="G106" t="s">
        <v>0</v>
      </c>
      <c r="H106">
        <f t="shared" si="1"/>
        <v>0.13346613545816732</v>
      </c>
    </row>
    <row r="107" spans="1:8" x14ac:dyDescent="0.3">
      <c r="A107" t="s">
        <v>827</v>
      </c>
      <c r="B107" t="s">
        <v>130</v>
      </c>
      <c r="C107">
        <v>1.2</v>
      </c>
      <c r="D107">
        <v>134</v>
      </c>
      <c r="E107">
        <v>1001</v>
      </c>
      <c r="F107">
        <v>38.6</v>
      </c>
      <c r="G107" t="s">
        <v>0</v>
      </c>
      <c r="H107">
        <f t="shared" si="1"/>
        <v>0.13386613386613386</v>
      </c>
    </row>
    <row r="108" spans="1:8" x14ac:dyDescent="0.3">
      <c r="A108" t="s">
        <v>787</v>
      </c>
      <c r="B108" t="s">
        <v>130</v>
      </c>
      <c r="C108">
        <v>1.2</v>
      </c>
      <c r="D108">
        <v>134</v>
      </c>
      <c r="E108">
        <v>1001</v>
      </c>
      <c r="F108">
        <v>44.9</v>
      </c>
      <c r="G108" t="s">
        <v>0</v>
      </c>
      <c r="H108">
        <f t="shared" si="1"/>
        <v>0.13386613386613386</v>
      </c>
    </row>
    <row r="109" spans="1:8" x14ac:dyDescent="0.3">
      <c r="A109" t="s">
        <v>747</v>
      </c>
      <c r="B109" t="s">
        <v>130</v>
      </c>
      <c r="C109">
        <v>1.2</v>
      </c>
      <c r="D109">
        <v>135</v>
      </c>
      <c r="E109">
        <v>1002</v>
      </c>
      <c r="F109">
        <v>40.700000000000003</v>
      </c>
      <c r="G109" t="s">
        <v>0</v>
      </c>
      <c r="H109">
        <f t="shared" si="1"/>
        <v>0.1347305389221557</v>
      </c>
    </row>
    <row r="110" spans="1:8" x14ac:dyDescent="0.3">
      <c r="A110" t="s">
        <v>823</v>
      </c>
      <c r="B110" t="s">
        <v>130</v>
      </c>
      <c r="C110">
        <v>1.2</v>
      </c>
      <c r="D110">
        <v>132</v>
      </c>
      <c r="E110">
        <v>1005</v>
      </c>
      <c r="F110">
        <v>40</v>
      </c>
      <c r="G110" t="s">
        <v>0</v>
      </c>
      <c r="H110">
        <f t="shared" si="1"/>
        <v>0.13134328358208955</v>
      </c>
    </row>
    <row r="111" spans="1:8" x14ac:dyDescent="0.3">
      <c r="A111" t="s">
        <v>783</v>
      </c>
      <c r="B111" t="s">
        <v>130</v>
      </c>
      <c r="C111">
        <v>1.2</v>
      </c>
      <c r="D111">
        <v>133</v>
      </c>
      <c r="E111">
        <v>1000</v>
      </c>
      <c r="F111">
        <v>44.9</v>
      </c>
      <c r="G111" t="s">
        <v>0</v>
      </c>
      <c r="H111">
        <f t="shared" si="1"/>
        <v>0.13300000000000001</v>
      </c>
    </row>
    <row r="112" spans="1:8" x14ac:dyDescent="0.3">
      <c r="A112" t="s">
        <v>743</v>
      </c>
      <c r="B112" t="s">
        <v>130</v>
      </c>
      <c r="C112">
        <v>1.2</v>
      </c>
      <c r="D112">
        <v>135</v>
      </c>
      <c r="E112">
        <v>1010</v>
      </c>
      <c r="F112">
        <v>48.2</v>
      </c>
      <c r="G112" t="s">
        <v>0</v>
      </c>
      <c r="H112">
        <f t="shared" si="1"/>
        <v>0.13366336633663367</v>
      </c>
    </row>
    <row r="113" spans="1:8" x14ac:dyDescent="0.3">
      <c r="A113" t="s">
        <v>819</v>
      </c>
      <c r="B113" t="s">
        <v>130</v>
      </c>
      <c r="C113">
        <v>1.2</v>
      </c>
      <c r="D113">
        <v>131</v>
      </c>
      <c r="E113">
        <v>1001</v>
      </c>
      <c r="F113">
        <v>43.2</v>
      </c>
      <c r="G113" t="s">
        <v>0</v>
      </c>
      <c r="H113">
        <f t="shared" si="1"/>
        <v>0.13086913086913088</v>
      </c>
    </row>
    <row r="114" spans="1:8" x14ac:dyDescent="0.3">
      <c r="A114" t="s">
        <v>779</v>
      </c>
      <c r="B114" t="s">
        <v>130</v>
      </c>
      <c r="C114">
        <v>1.2</v>
      </c>
      <c r="D114">
        <v>134</v>
      </c>
      <c r="E114">
        <v>1000</v>
      </c>
      <c r="F114">
        <v>54.8</v>
      </c>
      <c r="G114" t="s">
        <v>0</v>
      </c>
      <c r="H114">
        <f t="shared" si="1"/>
        <v>0.13400000000000001</v>
      </c>
    </row>
    <row r="115" spans="1:8" x14ac:dyDescent="0.3">
      <c r="A115" t="s">
        <v>739</v>
      </c>
      <c r="B115" t="s">
        <v>130</v>
      </c>
      <c r="C115">
        <v>1.2</v>
      </c>
      <c r="D115">
        <v>132</v>
      </c>
      <c r="E115">
        <v>1006</v>
      </c>
      <c r="F115">
        <v>44</v>
      </c>
      <c r="G115" t="s">
        <v>0</v>
      </c>
      <c r="H115">
        <f t="shared" si="1"/>
        <v>0.1312127236580517</v>
      </c>
    </row>
    <row r="116" spans="1:8" x14ac:dyDescent="0.3">
      <c r="A116" t="s">
        <v>815</v>
      </c>
      <c r="B116" t="s">
        <v>130</v>
      </c>
      <c r="C116">
        <v>1.2</v>
      </c>
      <c r="D116">
        <v>132</v>
      </c>
      <c r="E116">
        <v>1000</v>
      </c>
      <c r="F116">
        <v>52.9</v>
      </c>
      <c r="G116" t="s">
        <v>0</v>
      </c>
      <c r="H116">
        <f t="shared" si="1"/>
        <v>0.13200000000000001</v>
      </c>
    </row>
    <row r="117" spans="1:8" x14ac:dyDescent="0.3">
      <c r="A117" t="s">
        <v>775</v>
      </c>
      <c r="B117" t="s">
        <v>130</v>
      </c>
      <c r="C117">
        <v>1.2</v>
      </c>
      <c r="D117">
        <v>131</v>
      </c>
      <c r="E117">
        <v>1008</v>
      </c>
      <c r="F117">
        <v>55.4</v>
      </c>
      <c r="G117" t="s">
        <v>0</v>
      </c>
      <c r="H117">
        <f t="shared" si="1"/>
        <v>0.12996031746031747</v>
      </c>
    </row>
    <row r="118" spans="1:8" x14ac:dyDescent="0.3">
      <c r="A118" t="s">
        <v>735</v>
      </c>
      <c r="B118" t="s">
        <v>130</v>
      </c>
      <c r="C118">
        <v>1.2</v>
      </c>
      <c r="D118">
        <v>135</v>
      </c>
      <c r="E118">
        <v>1000</v>
      </c>
      <c r="F118">
        <v>52.4</v>
      </c>
      <c r="G118" t="s">
        <v>0</v>
      </c>
      <c r="H118">
        <f t="shared" si="1"/>
        <v>0.13500000000000001</v>
      </c>
    </row>
    <row r="119" spans="1:8" x14ac:dyDescent="0.3">
      <c r="A119" t="s">
        <v>811</v>
      </c>
      <c r="B119" t="s">
        <v>130</v>
      </c>
      <c r="C119">
        <v>1.2</v>
      </c>
      <c r="D119">
        <v>134</v>
      </c>
      <c r="E119">
        <v>1000</v>
      </c>
      <c r="F119">
        <v>52.8</v>
      </c>
      <c r="G119" t="s">
        <v>0</v>
      </c>
      <c r="H119">
        <f t="shared" si="1"/>
        <v>0.13400000000000001</v>
      </c>
    </row>
    <row r="120" spans="1:8" x14ac:dyDescent="0.3">
      <c r="A120" t="s">
        <v>771</v>
      </c>
      <c r="B120" t="s">
        <v>130</v>
      </c>
      <c r="C120">
        <v>1.2</v>
      </c>
      <c r="D120">
        <v>132</v>
      </c>
      <c r="E120">
        <v>1002</v>
      </c>
      <c r="F120">
        <v>46.8</v>
      </c>
      <c r="G120" t="s">
        <v>0</v>
      </c>
      <c r="H120">
        <f t="shared" si="1"/>
        <v>0.1317365269461078</v>
      </c>
    </row>
    <row r="121" spans="1:8" x14ac:dyDescent="0.3">
      <c r="A121" t="s">
        <v>731</v>
      </c>
      <c r="B121" t="s">
        <v>130</v>
      </c>
      <c r="C121">
        <v>1.2</v>
      </c>
      <c r="D121">
        <v>134</v>
      </c>
      <c r="E121">
        <v>1003</v>
      </c>
      <c r="F121">
        <v>46.7</v>
      </c>
      <c r="G121" t="s">
        <v>0</v>
      </c>
      <c r="H121">
        <f t="shared" si="1"/>
        <v>0.13359920239282153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CA2A-76AE-46DD-A566-A29DE9E01CCE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129</v>
      </c>
      <c r="B1" t="s">
        <v>128</v>
      </c>
      <c r="C1" t="s">
        <v>127</v>
      </c>
      <c r="D1" t="s">
        <v>126</v>
      </c>
      <c r="E1" t="s">
        <v>125</v>
      </c>
      <c r="F1" t="s">
        <v>124</v>
      </c>
      <c r="G1" t="s">
        <v>123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966</v>
      </c>
      <c r="B2" t="s">
        <v>1</v>
      </c>
      <c r="C2">
        <v>2</v>
      </c>
      <c r="D2">
        <v>46</v>
      </c>
      <c r="E2">
        <v>2004</v>
      </c>
      <c r="F2">
        <v>97.5</v>
      </c>
      <c r="G2" t="s">
        <v>9</v>
      </c>
      <c r="H2">
        <f>D2/E2</f>
        <v>2.2954091816367265E-2</v>
      </c>
      <c r="J2" t="s">
        <v>1233</v>
      </c>
      <c r="K2">
        <f>AVERAGE(F2:F31)</f>
        <v>94.430000000000021</v>
      </c>
      <c r="L2">
        <f>MIN(F2:F31)</f>
        <v>85.3</v>
      </c>
      <c r="M2">
        <f>MAX(F2:F31)</f>
        <v>98.6</v>
      </c>
      <c r="N2">
        <f>AVERAGE(H2:H31)</f>
        <v>2.442894430436247E-2</v>
      </c>
    </row>
    <row r="3" spans="1:14" x14ac:dyDescent="0.3">
      <c r="A3" t="s">
        <v>926</v>
      </c>
      <c r="B3" t="s">
        <v>1</v>
      </c>
      <c r="C3">
        <v>2</v>
      </c>
      <c r="D3">
        <v>51</v>
      </c>
      <c r="E3">
        <v>1999</v>
      </c>
      <c r="F3">
        <v>96</v>
      </c>
      <c r="G3" t="s">
        <v>9</v>
      </c>
      <c r="H3">
        <f t="shared" ref="H3:H66" si="0">D3/E3</f>
        <v>2.5512756378189096E-2</v>
      </c>
      <c r="J3" t="s">
        <v>1234</v>
      </c>
      <c r="K3">
        <f>AVERAGE(F32:F61)</f>
        <v>76.553333333333313</v>
      </c>
      <c r="L3">
        <f>MIN(F32:F61)</f>
        <v>42.1</v>
      </c>
      <c r="M3">
        <f>MAX(F32:F61)</f>
        <v>98</v>
      </c>
      <c r="N3">
        <f>AVERAGE(H32:H61)</f>
        <v>3.5852477744306104E-2</v>
      </c>
    </row>
    <row r="4" spans="1:14" x14ac:dyDescent="0.3">
      <c r="A4" t="s">
        <v>886</v>
      </c>
      <c r="B4" t="s">
        <v>1</v>
      </c>
      <c r="C4">
        <v>2</v>
      </c>
      <c r="D4">
        <v>47</v>
      </c>
      <c r="E4">
        <v>2006</v>
      </c>
      <c r="F4">
        <v>93.6</v>
      </c>
      <c r="G4" t="s">
        <v>9</v>
      </c>
      <c r="H4">
        <f t="shared" si="0"/>
        <v>2.3429710867397806E-2</v>
      </c>
      <c r="J4" t="s">
        <v>1235</v>
      </c>
      <c r="K4">
        <f>AVERAGE(F62:F91)</f>
        <v>60.353333333333339</v>
      </c>
      <c r="L4">
        <f>MIN(F62:F91)</f>
        <v>41.2</v>
      </c>
      <c r="M4">
        <f>MAX(F62:F91)</f>
        <v>91.9</v>
      </c>
      <c r="N4">
        <f>AVERAGE(H62:H91)</f>
        <v>4.6992711051298458E-2</v>
      </c>
    </row>
    <row r="5" spans="1:14" x14ac:dyDescent="0.3">
      <c r="A5" t="s">
        <v>970</v>
      </c>
      <c r="B5" t="s">
        <v>1</v>
      </c>
      <c r="C5">
        <v>2</v>
      </c>
      <c r="D5">
        <v>49</v>
      </c>
      <c r="E5">
        <v>2000</v>
      </c>
      <c r="F5">
        <v>91.4</v>
      </c>
      <c r="G5" t="s">
        <v>9</v>
      </c>
      <c r="H5">
        <f t="shared" si="0"/>
        <v>2.4500000000000001E-2</v>
      </c>
      <c r="J5" t="s">
        <v>1236</v>
      </c>
      <c r="K5">
        <f>AVERAGE(F92:F121)</f>
        <v>52.963333333333338</v>
      </c>
      <c r="L5">
        <f>MIN(F92:F121)</f>
        <v>40.9</v>
      </c>
      <c r="M5">
        <f>MAX(F92:F121)</f>
        <v>68.5</v>
      </c>
      <c r="N5">
        <f>AVERAGE(H92:H121)</f>
        <v>5.8133077658150012E-2</v>
      </c>
    </row>
    <row r="6" spans="1:14" x14ac:dyDescent="0.3">
      <c r="A6" t="s">
        <v>930</v>
      </c>
      <c r="B6" t="s">
        <v>1</v>
      </c>
      <c r="C6">
        <v>2</v>
      </c>
      <c r="D6">
        <v>49</v>
      </c>
      <c r="E6">
        <v>2003</v>
      </c>
      <c r="F6">
        <v>96.7</v>
      </c>
      <c r="G6" t="s">
        <v>9</v>
      </c>
      <c r="H6">
        <f t="shared" si="0"/>
        <v>2.4463305042436344E-2</v>
      </c>
    </row>
    <row r="7" spans="1:14" x14ac:dyDescent="0.3">
      <c r="A7" t="s">
        <v>890</v>
      </c>
      <c r="B7" t="s">
        <v>1</v>
      </c>
      <c r="C7">
        <v>2</v>
      </c>
      <c r="D7">
        <v>50</v>
      </c>
      <c r="E7">
        <v>2001</v>
      </c>
      <c r="F7">
        <v>93</v>
      </c>
      <c r="G7" t="s">
        <v>9</v>
      </c>
      <c r="H7">
        <f t="shared" si="0"/>
        <v>2.498750624687656E-2</v>
      </c>
    </row>
    <row r="8" spans="1:14" x14ac:dyDescent="0.3">
      <c r="A8" t="s">
        <v>962</v>
      </c>
      <c r="B8" t="s">
        <v>1</v>
      </c>
      <c r="C8">
        <v>2</v>
      </c>
      <c r="D8">
        <v>46</v>
      </c>
      <c r="E8">
        <v>2003</v>
      </c>
      <c r="F8">
        <v>97</v>
      </c>
      <c r="G8" t="s">
        <v>9</v>
      </c>
      <c r="H8">
        <f t="shared" si="0"/>
        <v>2.2965551672491265E-2</v>
      </c>
    </row>
    <row r="9" spans="1:14" x14ac:dyDescent="0.3">
      <c r="A9" t="s">
        <v>922</v>
      </c>
      <c r="B9" t="s">
        <v>1</v>
      </c>
      <c r="C9">
        <v>2</v>
      </c>
      <c r="D9">
        <v>46</v>
      </c>
      <c r="E9">
        <v>2001</v>
      </c>
      <c r="F9">
        <v>96.7</v>
      </c>
      <c r="G9" t="s">
        <v>9</v>
      </c>
      <c r="H9">
        <f t="shared" si="0"/>
        <v>2.2988505747126436E-2</v>
      </c>
    </row>
    <row r="10" spans="1:14" x14ac:dyDescent="0.3">
      <c r="A10" t="s">
        <v>882</v>
      </c>
      <c r="B10" t="s">
        <v>1</v>
      </c>
      <c r="C10">
        <v>2</v>
      </c>
      <c r="D10">
        <v>47</v>
      </c>
      <c r="E10">
        <v>2000</v>
      </c>
      <c r="F10">
        <v>92.7</v>
      </c>
      <c r="G10" t="s">
        <v>9</v>
      </c>
      <c r="H10">
        <f t="shared" si="0"/>
        <v>2.35E-2</v>
      </c>
    </row>
    <row r="11" spans="1:14" x14ac:dyDescent="0.3">
      <c r="A11" t="s">
        <v>958</v>
      </c>
      <c r="B11" t="s">
        <v>1</v>
      </c>
      <c r="C11">
        <v>2</v>
      </c>
      <c r="D11">
        <v>49</v>
      </c>
      <c r="E11">
        <v>2000</v>
      </c>
      <c r="F11">
        <v>96.3</v>
      </c>
      <c r="G11" t="s">
        <v>9</v>
      </c>
      <c r="H11">
        <f t="shared" si="0"/>
        <v>2.4500000000000001E-2</v>
      </c>
    </row>
    <row r="12" spans="1:14" x14ac:dyDescent="0.3">
      <c r="A12" t="s">
        <v>918</v>
      </c>
      <c r="B12" t="s">
        <v>1</v>
      </c>
      <c r="C12">
        <v>2</v>
      </c>
      <c r="D12">
        <v>51</v>
      </c>
      <c r="E12">
        <v>2003</v>
      </c>
      <c r="F12">
        <v>92.7</v>
      </c>
      <c r="G12" t="s">
        <v>9</v>
      </c>
      <c r="H12">
        <f t="shared" si="0"/>
        <v>2.5461807289066399E-2</v>
      </c>
    </row>
    <row r="13" spans="1:14" x14ac:dyDescent="0.3">
      <c r="A13" t="s">
        <v>878</v>
      </c>
      <c r="B13" t="s">
        <v>1</v>
      </c>
      <c r="C13">
        <v>2</v>
      </c>
      <c r="D13">
        <v>49</v>
      </c>
      <c r="E13">
        <v>2001</v>
      </c>
      <c r="F13">
        <v>96.3</v>
      </c>
      <c r="G13" t="s">
        <v>9</v>
      </c>
      <c r="H13">
        <f t="shared" si="0"/>
        <v>2.4487756121939031E-2</v>
      </c>
    </row>
    <row r="14" spans="1:14" x14ac:dyDescent="0.3">
      <c r="A14" t="s">
        <v>954</v>
      </c>
      <c r="B14" t="s">
        <v>1</v>
      </c>
      <c r="C14">
        <v>2</v>
      </c>
      <c r="D14">
        <v>49</v>
      </c>
      <c r="E14">
        <v>2002</v>
      </c>
      <c r="F14">
        <v>92.6</v>
      </c>
      <c r="G14" t="s">
        <v>9</v>
      </c>
      <c r="H14">
        <f t="shared" si="0"/>
        <v>2.4475524475524476E-2</v>
      </c>
    </row>
    <row r="15" spans="1:14" x14ac:dyDescent="0.3">
      <c r="A15" t="s">
        <v>914</v>
      </c>
      <c r="B15" t="s">
        <v>1</v>
      </c>
      <c r="C15">
        <v>2</v>
      </c>
      <c r="D15">
        <v>50</v>
      </c>
      <c r="E15">
        <v>2002</v>
      </c>
      <c r="F15">
        <v>85.3</v>
      </c>
      <c r="G15" t="s">
        <v>9</v>
      </c>
      <c r="H15">
        <f t="shared" si="0"/>
        <v>2.4975024975024976E-2</v>
      </c>
    </row>
    <row r="16" spans="1:14" x14ac:dyDescent="0.3">
      <c r="A16" t="s">
        <v>874</v>
      </c>
      <c r="B16" t="s">
        <v>1</v>
      </c>
      <c r="C16">
        <v>2</v>
      </c>
      <c r="D16">
        <v>47</v>
      </c>
      <c r="E16">
        <v>2000</v>
      </c>
      <c r="F16">
        <v>92.4</v>
      </c>
      <c r="G16" t="s">
        <v>9</v>
      </c>
      <c r="H16">
        <f t="shared" si="0"/>
        <v>2.35E-2</v>
      </c>
    </row>
    <row r="17" spans="1:8" x14ac:dyDescent="0.3">
      <c r="A17" t="s">
        <v>950</v>
      </c>
      <c r="B17" t="s">
        <v>1</v>
      </c>
      <c r="C17">
        <v>2</v>
      </c>
      <c r="D17">
        <v>50</v>
      </c>
      <c r="E17">
        <v>2006</v>
      </c>
      <c r="F17">
        <v>93.9</v>
      </c>
      <c r="G17" t="s">
        <v>9</v>
      </c>
      <c r="H17">
        <f t="shared" si="0"/>
        <v>2.4925224327018942E-2</v>
      </c>
    </row>
    <row r="18" spans="1:8" x14ac:dyDescent="0.3">
      <c r="A18" t="s">
        <v>910</v>
      </c>
      <c r="B18" t="s">
        <v>1</v>
      </c>
      <c r="C18">
        <v>2</v>
      </c>
      <c r="D18">
        <v>48</v>
      </c>
      <c r="E18">
        <v>2003</v>
      </c>
      <c r="F18">
        <v>96.9</v>
      </c>
      <c r="G18" t="s">
        <v>9</v>
      </c>
      <c r="H18">
        <f t="shared" si="0"/>
        <v>2.3964053919121316E-2</v>
      </c>
    </row>
    <row r="19" spans="1:8" x14ac:dyDescent="0.3">
      <c r="A19" t="s">
        <v>870</v>
      </c>
      <c r="B19" t="s">
        <v>1</v>
      </c>
      <c r="C19">
        <v>2</v>
      </c>
      <c r="D19">
        <v>48</v>
      </c>
      <c r="E19">
        <v>2002</v>
      </c>
      <c r="F19">
        <v>93.6</v>
      </c>
      <c r="G19" t="s">
        <v>9</v>
      </c>
      <c r="H19">
        <f t="shared" si="0"/>
        <v>2.3976023976023976E-2</v>
      </c>
    </row>
    <row r="20" spans="1:8" x14ac:dyDescent="0.3">
      <c r="A20" t="s">
        <v>946</v>
      </c>
      <c r="B20" t="s">
        <v>1</v>
      </c>
      <c r="C20">
        <v>2</v>
      </c>
      <c r="D20">
        <v>50</v>
      </c>
      <c r="E20">
        <v>2002</v>
      </c>
      <c r="F20">
        <v>98.6</v>
      </c>
      <c r="G20" t="s">
        <v>9</v>
      </c>
      <c r="H20">
        <f t="shared" si="0"/>
        <v>2.4975024975024976E-2</v>
      </c>
    </row>
    <row r="21" spans="1:8" x14ac:dyDescent="0.3">
      <c r="A21" t="s">
        <v>906</v>
      </c>
      <c r="B21" t="s">
        <v>1</v>
      </c>
      <c r="C21">
        <v>2</v>
      </c>
      <c r="D21">
        <v>49</v>
      </c>
      <c r="E21">
        <v>2002</v>
      </c>
      <c r="F21">
        <v>91.5</v>
      </c>
      <c r="G21" t="s">
        <v>9</v>
      </c>
      <c r="H21">
        <f t="shared" si="0"/>
        <v>2.4475524475524476E-2</v>
      </c>
    </row>
    <row r="22" spans="1:8" x14ac:dyDescent="0.3">
      <c r="A22" t="s">
        <v>866</v>
      </c>
      <c r="B22" t="s">
        <v>1</v>
      </c>
      <c r="C22">
        <v>2</v>
      </c>
      <c r="D22">
        <v>50</v>
      </c>
      <c r="E22">
        <v>2004</v>
      </c>
      <c r="F22">
        <v>96.4</v>
      </c>
      <c r="G22" t="s">
        <v>9</v>
      </c>
      <c r="H22">
        <f t="shared" si="0"/>
        <v>2.4950099800399202E-2</v>
      </c>
    </row>
    <row r="23" spans="1:8" x14ac:dyDescent="0.3">
      <c r="A23" t="s">
        <v>942</v>
      </c>
      <c r="B23" t="s">
        <v>1</v>
      </c>
      <c r="C23">
        <v>2</v>
      </c>
      <c r="D23">
        <v>49</v>
      </c>
      <c r="E23">
        <v>2000</v>
      </c>
      <c r="F23">
        <v>93</v>
      </c>
      <c r="G23" t="s">
        <v>9</v>
      </c>
      <c r="H23">
        <f t="shared" si="0"/>
        <v>2.4500000000000001E-2</v>
      </c>
    </row>
    <row r="24" spans="1:8" x14ac:dyDescent="0.3">
      <c r="A24" t="s">
        <v>902</v>
      </c>
      <c r="B24" t="s">
        <v>1</v>
      </c>
      <c r="C24">
        <v>2</v>
      </c>
      <c r="D24">
        <v>52</v>
      </c>
      <c r="E24">
        <v>2001</v>
      </c>
      <c r="F24">
        <v>95.8</v>
      </c>
      <c r="G24" t="s">
        <v>9</v>
      </c>
      <c r="H24">
        <f t="shared" si="0"/>
        <v>2.5987006496751622E-2</v>
      </c>
    </row>
    <row r="25" spans="1:8" x14ac:dyDescent="0.3">
      <c r="A25" t="s">
        <v>862</v>
      </c>
      <c r="B25" t="s">
        <v>1</v>
      </c>
      <c r="C25">
        <v>2</v>
      </c>
      <c r="D25">
        <v>48</v>
      </c>
      <c r="E25">
        <v>2000</v>
      </c>
      <c r="F25">
        <v>94.2</v>
      </c>
      <c r="G25" t="s">
        <v>9</v>
      </c>
      <c r="H25">
        <f t="shared" si="0"/>
        <v>2.4E-2</v>
      </c>
    </row>
    <row r="26" spans="1:8" x14ac:dyDescent="0.3">
      <c r="A26" t="s">
        <v>938</v>
      </c>
      <c r="B26" t="s">
        <v>1</v>
      </c>
      <c r="C26">
        <v>2</v>
      </c>
      <c r="D26">
        <v>49</v>
      </c>
      <c r="E26">
        <v>2001</v>
      </c>
      <c r="F26">
        <v>94.5</v>
      </c>
      <c r="G26" t="s">
        <v>9</v>
      </c>
      <c r="H26">
        <f t="shared" si="0"/>
        <v>2.4487756121939031E-2</v>
      </c>
    </row>
    <row r="27" spans="1:8" x14ac:dyDescent="0.3">
      <c r="A27" t="s">
        <v>898</v>
      </c>
      <c r="B27" t="s">
        <v>1</v>
      </c>
      <c r="C27">
        <v>2</v>
      </c>
      <c r="D27">
        <v>48</v>
      </c>
      <c r="E27">
        <v>2001</v>
      </c>
      <c r="F27">
        <v>96.9</v>
      </c>
      <c r="G27" t="s">
        <v>9</v>
      </c>
      <c r="H27">
        <f t="shared" si="0"/>
        <v>2.3988005997001498E-2</v>
      </c>
    </row>
    <row r="28" spans="1:8" x14ac:dyDescent="0.3">
      <c r="A28" t="s">
        <v>858</v>
      </c>
      <c r="B28" t="s">
        <v>1</v>
      </c>
      <c r="C28">
        <v>2</v>
      </c>
      <c r="D28">
        <v>52</v>
      </c>
      <c r="E28">
        <v>2000</v>
      </c>
      <c r="F28">
        <v>95.3</v>
      </c>
      <c r="G28" t="s">
        <v>9</v>
      </c>
      <c r="H28">
        <f t="shared" si="0"/>
        <v>2.5999999999999999E-2</v>
      </c>
    </row>
    <row r="29" spans="1:8" x14ac:dyDescent="0.3">
      <c r="A29" t="s">
        <v>934</v>
      </c>
      <c r="B29" t="s">
        <v>1</v>
      </c>
      <c r="C29">
        <v>2</v>
      </c>
      <c r="D29">
        <v>50</v>
      </c>
      <c r="E29">
        <v>2003</v>
      </c>
      <c r="F29">
        <v>92.5</v>
      </c>
      <c r="G29" t="s">
        <v>9</v>
      </c>
      <c r="H29">
        <f t="shared" si="0"/>
        <v>2.4962556165751371E-2</v>
      </c>
    </row>
    <row r="30" spans="1:8" x14ac:dyDescent="0.3">
      <c r="A30" t="s">
        <v>894</v>
      </c>
      <c r="B30" t="s">
        <v>1</v>
      </c>
      <c r="C30">
        <v>2</v>
      </c>
      <c r="D30">
        <v>49</v>
      </c>
      <c r="E30">
        <v>2001</v>
      </c>
      <c r="F30">
        <v>95.1</v>
      </c>
      <c r="G30" t="s">
        <v>9</v>
      </c>
      <c r="H30">
        <f t="shared" si="0"/>
        <v>2.4487756121939031E-2</v>
      </c>
    </row>
    <row r="31" spans="1:8" x14ac:dyDescent="0.3">
      <c r="A31" t="s">
        <v>854</v>
      </c>
      <c r="B31" t="s">
        <v>1</v>
      </c>
      <c r="C31">
        <v>2</v>
      </c>
      <c r="D31">
        <v>49</v>
      </c>
      <c r="E31">
        <v>2001</v>
      </c>
      <c r="F31">
        <v>94.5</v>
      </c>
      <c r="G31" t="s">
        <v>9</v>
      </c>
      <c r="H31">
        <f t="shared" si="0"/>
        <v>2.4487756121939031E-2</v>
      </c>
    </row>
    <row r="32" spans="1:8" x14ac:dyDescent="0.3">
      <c r="A32" t="s">
        <v>965</v>
      </c>
      <c r="B32" t="s">
        <v>1</v>
      </c>
      <c r="C32">
        <v>3</v>
      </c>
      <c r="D32">
        <v>69</v>
      </c>
      <c r="E32">
        <v>2004</v>
      </c>
      <c r="F32">
        <v>94</v>
      </c>
      <c r="G32" t="s">
        <v>9</v>
      </c>
      <c r="H32">
        <f t="shared" si="0"/>
        <v>3.4431137724550899E-2</v>
      </c>
    </row>
    <row r="33" spans="1:8" x14ac:dyDescent="0.3">
      <c r="A33" t="s">
        <v>925</v>
      </c>
      <c r="B33" t="s">
        <v>1</v>
      </c>
      <c r="C33">
        <v>3</v>
      </c>
      <c r="D33">
        <v>74</v>
      </c>
      <c r="E33">
        <v>1999</v>
      </c>
      <c r="F33">
        <v>93</v>
      </c>
      <c r="G33" t="s">
        <v>9</v>
      </c>
      <c r="H33">
        <f t="shared" si="0"/>
        <v>3.701850925462731E-2</v>
      </c>
    </row>
    <row r="34" spans="1:8" x14ac:dyDescent="0.3">
      <c r="A34" t="s">
        <v>885</v>
      </c>
      <c r="B34" t="s">
        <v>1</v>
      </c>
      <c r="C34">
        <v>3</v>
      </c>
      <c r="D34">
        <v>69</v>
      </c>
      <c r="E34">
        <v>2006</v>
      </c>
      <c r="F34">
        <v>90.5</v>
      </c>
      <c r="G34" t="s">
        <v>9</v>
      </c>
      <c r="H34">
        <f t="shared" si="0"/>
        <v>3.4396809571286144E-2</v>
      </c>
    </row>
    <row r="35" spans="1:8" x14ac:dyDescent="0.3">
      <c r="A35" t="s">
        <v>969</v>
      </c>
      <c r="B35" t="s">
        <v>1</v>
      </c>
      <c r="C35">
        <v>3</v>
      </c>
      <c r="D35">
        <v>73</v>
      </c>
      <c r="E35">
        <v>2000</v>
      </c>
      <c r="F35">
        <v>56.4</v>
      </c>
      <c r="G35" t="s">
        <v>0</v>
      </c>
      <c r="H35">
        <f t="shared" si="0"/>
        <v>3.6499999999999998E-2</v>
      </c>
    </row>
    <row r="36" spans="1:8" x14ac:dyDescent="0.3">
      <c r="A36" t="s">
        <v>929</v>
      </c>
      <c r="B36" t="s">
        <v>1</v>
      </c>
      <c r="C36">
        <v>3</v>
      </c>
      <c r="D36">
        <v>69</v>
      </c>
      <c r="E36">
        <v>2003</v>
      </c>
      <c r="F36">
        <v>94.7</v>
      </c>
      <c r="G36" t="s">
        <v>9</v>
      </c>
      <c r="H36">
        <f t="shared" si="0"/>
        <v>3.4448327508736894E-2</v>
      </c>
    </row>
    <row r="37" spans="1:8" x14ac:dyDescent="0.3">
      <c r="A37" t="s">
        <v>889</v>
      </c>
      <c r="B37" t="s">
        <v>1</v>
      </c>
      <c r="C37">
        <v>3</v>
      </c>
      <c r="D37">
        <v>73</v>
      </c>
      <c r="E37">
        <v>2001</v>
      </c>
      <c r="F37">
        <v>62.9</v>
      </c>
      <c r="G37" t="s">
        <v>0</v>
      </c>
      <c r="H37">
        <f t="shared" si="0"/>
        <v>3.6481759120439779E-2</v>
      </c>
    </row>
    <row r="38" spans="1:8" x14ac:dyDescent="0.3">
      <c r="A38" t="s">
        <v>961</v>
      </c>
      <c r="B38" t="s">
        <v>1</v>
      </c>
      <c r="C38">
        <v>3</v>
      </c>
      <c r="D38">
        <v>67</v>
      </c>
      <c r="E38">
        <v>2003</v>
      </c>
      <c r="F38">
        <v>98</v>
      </c>
      <c r="G38" t="s">
        <v>9</v>
      </c>
      <c r="H38">
        <f t="shared" si="0"/>
        <v>3.3449825262106839E-2</v>
      </c>
    </row>
    <row r="39" spans="1:8" x14ac:dyDescent="0.3">
      <c r="A39" t="s">
        <v>921</v>
      </c>
      <c r="B39" t="s">
        <v>1</v>
      </c>
      <c r="C39">
        <v>3</v>
      </c>
      <c r="D39">
        <v>70</v>
      </c>
      <c r="E39">
        <v>2001</v>
      </c>
      <c r="F39">
        <v>89.4</v>
      </c>
      <c r="G39" t="s">
        <v>9</v>
      </c>
      <c r="H39">
        <f t="shared" si="0"/>
        <v>3.4982508745627187E-2</v>
      </c>
    </row>
    <row r="40" spans="1:8" x14ac:dyDescent="0.3">
      <c r="A40" t="s">
        <v>881</v>
      </c>
      <c r="B40" t="s">
        <v>1</v>
      </c>
      <c r="C40">
        <v>3</v>
      </c>
      <c r="D40">
        <v>70</v>
      </c>
      <c r="E40">
        <v>2000</v>
      </c>
      <c r="F40">
        <v>65.3</v>
      </c>
      <c r="G40" t="s">
        <v>0</v>
      </c>
      <c r="H40">
        <f t="shared" si="0"/>
        <v>3.5000000000000003E-2</v>
      </c>
    </row>
    <row r="41" spans="1:8" x14ac:dyDescent="0.3">
      <c r="A41" t="s">
        <v>957</v>
      </c>
      <c r="B41" t="s">
        <v>1</v>
      </c>
      <c r="C41">
        <v>3</v>
      </c>
      <c r="D41">
        <v>71</v>
      </c>
      <c r="E41">
        <v>2000</v>
      </c>
      <c r="F41">
        <v>71.400000000000006</v>
      </c>
      <c r="G41" t="s">
        <v>0</v>
      </c>
      <c r="H41">
        <f t="shared" si="0"/>
        <v>3.5499999999999997E-2</v>
      </c>
    </row>
    <row r="42" spans="1:8" x14ac:dyDescent="0.3">
      <c r="A42" t="s">
        <v>917</v>
      </c>
      <c r="B42" t="s">
        <v>1</v>
      </c>
      <c r="C42">
        <v>3</v>
      </c>
      <c r="D42">
        <v>75</v>
      </c>
      <c r="E42">
        <v>2003</v>
      </c>
      <c r="F42">
        <v>62.3</v>
      </c>
      <c r="G42" t="s">
        <v>0</v>
      </c>
      <c r="H42">
        <f t="shared" si="0"/>
        <v>3.7443834248627059E-2</v>
      </c>
    </row>
    <row r="43" spans="1:8" x14ac:dyDescent="0.3">
      <c r="A43" t="s">
        <v>877</v>
      </c>
      <c r="B43" t="s">
        <v>1</v>
      </c>
      <c r="C43">
        <v>3</v>
      </c>
      <c r="D43">
        <v>73</v>
      </c>
      <c r="E43">
        <v>2001</v>
      </c>
      <c r="F43">
        <v>63</v>
      </c>
      <c r="G43" t="s">
        <v>0</v>
      </c>
      <c r="H43">
        <f t="shared" si="0"/>
        <v>3.6481759120439779E-2</v>
      </c>
    </row>
    <row r="44" spans="1:8" x14ac:dyDescent="0.3">
      <c r="A44" t="s">
        <v>953</v>
      </c>
      <c r="B44" t="s">
        <v>1</v>
      </c>
      <c r="C44">
        <v>3</v>
      </c>
      <c r="D44">
        <v>72</v>
      </c>
      <c r="E44">
        <v>2002</v>
      </c>
      <c r="F44">
        <v>59.8</v>
      </c>
      <c r="G44" t="s">
        <v>0</v>
      </c>
      <c r="H44">
        <f t="shared" si="0"/>
        <v>3.5964035964035967E-2</v>
      </c>
    </row>
    <row r="45" spans="1:8" x14ac:dyDescent="0.3">
      <c r="A45" t="s">
        <v>913</v>
      </c>
      <c r="B45" t="s">
        <v>1</v>
      </c>
      <c r="C45">
        <v>3</v>
      </c>
      <c r="D45">
        <v>71</v>
      </c>
      <c r="E45">
        <v>2002</v>
      </c>
      <c r="F45">
        <v>70.7</v>
      </c>
      <c r="G45" t="s">
        <v>0</v>
      </c>
      <c r="H45">
        <f t="shared" si="0"/>
        <v>3.5464535464535464E-2</v>
      </c>
    </row>
    <row r="46" spans="1:8" x14ac:dyDescent="0.3">
      <c r="A46" t="s">
        <v>873</v>
      </c>
      <c r="B46" t="s">
        <v>1</v>
      </c>
      <c r="C46">
        <v>3</v>
      </c>
      <c r="D46">
        <v>70</v>
      </c>
      <c r="E46">
        <v>2000</v>
      </c>
      <c r="F46">
        <v>69.400000000000006</v>
      </c>
      <c r="G46" t="s">
        <v>0</v>
      </c>
      <c r="H46">
        <f t="shared" si="0"/>
        <v>3.5000000000000003E-2</v>
      </c>
    </row>
    <row r="47" spans="1:8" x14ac:dyDescent="0.3">
      <c r="A47" t="s">
        <v>949</v>
      </c>
      <c r="B47" t="s">
        <v>1</v>
      </c>
      <c r="C47">
        <v>3</v>
      </c>
      <c r="D47">
        <v>74</v>
      </c>
      <c r="E47">
        <v>2006</v>
      </c>
      <c r="F47">
        <v>57.5</v>
      </c>
      <c r="G47" t="s">
        <v>0</v>
      </c>
      <c r="H47">
        <f t="shared" si="0"/>
        <v>3.6889332003988036E-2</v>
      </c>
    </row>
    <row r="48" spans="1:8" x14ac:dyDescent="0.3">
      <c r="A48" t="s">
        <v>909</v>
      </c>
      <c r="B48" t="s">
        <v>1</v>
      </c>
      <c r="C48">
        <v>3</v>
      </c>
      <c r="D48">
        <v>70</v>
      </c>
      <c r="E48">
        <v>2003</v>
      </c>
      <c r="F48">
        <v>96.5</v>
      </c>
      <c r="G48" t="s">
        <v>9</v>
      </c>
      <c r="H48">
        <f t="shared" si="0"/>
        <v>3.4947578632051925E-2</v>
      </c>
    </row>
    <row r="49" spans="1:8" x14ac:dyDescent="0.3">
      <c r="A49" t="s">
        <v>869</v>
      </c>
      <c r="B49" t="s">
        <v>1</v>
      </c>
      <c r="C49">
        <v>3</v>
      </c>
      <c r="D49">
        <v>73</v>
      </c>
      <c r="E49">
        <v>2002</v>
      </c>
      <c r="F49">
        <v>51.1</v>
      </c>
      <c r="G49" t="s">
        <v>0</v>
      </c>
      <c r="H49">
        <f t="shared" si="0"/>
        <v>3.6463536463536464E-2</v>
      </c>
    </row>
    <row r="50" spans="1:8" x14ac:dyDescent="0.3">
      <c r="A50" t="s">
        <v>945</v>
      </c>
      <c r="B50" t="s">
        <v>1</v>
      </c>
      <c r="C50">
        <v>3</v>
      </c>
      <c r="D50">
        <v>73</v>
      </c>
      <c r="E50">
        <v>2002</v>
      </c>
      <c r="F50">
        <v>64.900000000000006</v>
      </c>
      <c r="G50" t="s">
        <v>0</v>
      </c>
      <c r="H50">
        <f t="shared" si="0"/>
        <v>3.6463536463536464E-2</v>
      </c>
    </row>
    <row r="51" spans="1:8" x14ac:dyDescent="0.3">
      <c r="A51" t="s">
        <v>905</v>
      </c>
      <c r="B51" t="s">
        <v>1</v>
      </c>
      <c r="C51">
        <v>3</v>
      </c>
      <c r="D51">
        <v>72</v>
      </c>
      <c r="E51">
        <v>2002</v>
      </c>
      <c r="F51">
        <v>61.1</v>
      </c>
      <c r="G51" t="s">
        <v>0</v>
      </c>
      <c r="H51">
        <f t="shared" si="0"/>
        <v>3.5964035964035967E-2</v>
      </c>
    </row>
    <row r="52" spans="1:8" x14ac:dyDescent="0.3">
      <c r="A52" t="s">
        <v>865</v>
      </c>
      <c r="B52" t="s">
        <v>1</v>
      </c>
      <c r="C52">
        <v>3</v>
      </c>
      <c r="D52">
        <v>72</v>
      </c>
      <c r="E52">
        <v>2004</v>
      </c>
      <c r="F52">
        <v>72.099999999999994</v>
      </c>
      <c r="G52" t="s">
        <v>0</v>
      </c>
      <c r="H52">
        <f t="shared" si="0"/>
        <v>3.5928143712574849E-2</v>
      </c>
    </row>
    <row r="53" spans="1:8" x14ac:dyDescent="0.3">
      <c r="A53" t="s">
        <v>941</v>
      </c>
      <c r="B53" t="s">
        <v>1</v>
      </c>
      <c r="C53">
        <v>3</v>
      </c>
      <c r="D53">
        <v>71</v>
      </c>
      <c r="E53">
        <v>2000</v>
      </c>
      <c r="F53">
        <v>93.3</v>
      </c>
      <c r="G53" t="s">
        <v>9</v>
      </c>
      <c r="H53">
        <f t="shared" si="0"/>
        <v>3.5499999999999997E-2</v>
      </c>
    </row>
    <row r="54" spans="1:8" x14ac:dyDescent="0.3">
      <c r="A54" t="s">
        <v>901</v>
      </c>
      <c r="B54" t="s">
        <v>1</v>
      </c>
      <c r="C54">
        <v>3</v>
      </c>
      <c r="D54">
        <v>74</v>
      </c>
      <c r="E54">
        <v>2001</v>
      </c>
      <c r="F54">
        <v>93.9</v>
      </c>
      <c r="G54" t="s">
        <v>9</v>
      </c>
      <c r="H54">
        <f t="shared" si="0"/>
        <v>3.6981509245377311E-2</v>
      </c>
    </row>
    <row r="55" spans="1:8" x14ac:dyDescent="0.3">
      <c r="A55" t="s">
        <v>861</v>
      </c>
      <c r="B55" t="s">
        <v>1</v>
      </c>
      <c r="C55">
        <v>3</v>
      </c>
      <c r="D55">
        <v>71</v>
      </c>
      <c r="E55">
        <v>2000</v>
      </c>
      <c r="F55">
        <v>73.5</v>
      </c>
      <c r="G55" t="s">
        <v>0</v>
      </c>
      <c r="H55">
        <f t="shared" si="0"/>
        <v>3.5499999999999997E-2</v>
      </c>
    </row>
    <row r="56" spans="1:8" x14ac:dyDescent="0.3">
      <c r="A56" t="s">
        <v>937</v>
      </c>
      <c r="B56" t="s">
        <v>1</v>
      </c>
      <c r="C56">
        <v>3</v>
      </c>
      <c r="D56">
        <v>72</v>
      </c>
      <c r="E56">
        <v>2001</v>
      </c>
      <c r="F56">
        <v>74.8</v>
      </c>
      <c r="G56" t="s">
        <v>0</v>
      </c>
      <c r="H56">
        <f t="shared" si="0"/>
        <v>3.5982008995502246E-2</v>
      </c>
    </row>
    <row r="57" spans="1:8" x14ac:dyDescent="0.3">
      <c r="A57" t="s">
        <v>897</v>
      </c>
      <c r="B57" t="s">
        <v>1</v>
      </c>
      <c r="C57">
        <v>3</v>
      </c>
      <c r="D57">
        <v>72</v>
      </c>
      <c r="E57">
        <v>2001</v>
      </c>
      <c r="F57">
        <v>92.3</v>
      </c>
      <c r="G57" t="s">
        <v>9</v>
      </c>
      <c r="H57">
        <f t="shared" si="0"/>
        <v>3.5982008995502246E-2</v>
      </c>
    </row>
    <row r="58" spans="1:8" x14ac:dyDescent="0.3">
      <c r="A58" t="s">
        <v>857</v>
      </c>
      <c r="B58" t="s">
        <v>1</v>
      </c>
      <c r="C58">
        <v>3</v>
      </c>
      <c r="D58">
        <v>77</v>
      </c>
      <c r="E58">
        <v>2000</v>
      </c>
      <c r="F58">
        <v>96.8</v>
      </c>
      <c r="G58" t="s">
        <v>9</v>
      </c>
      <c r="H58">
        <f t="shared" si="0"/>
        <v>3.85E-2</v>
      </c>
    </row>
    <row r="59" spans="1:8" x14ac:dyDescent="0.3">
      <c r="A59" t="s">
        <v>933</v>
      </c>
      <c r="B59" t="s">
        <v>1</v>
      </c>
      <c r="C59">
        <v>3</v>
      </c>
      <c r="D59">
        <v>73</v>
      </c>
      <c r="E59">
        <v>2003</v>
      </c>
      <c r="F59">
        <v>42.1</v>
      </c>
      <c r="G59" t="s">
        <v>0</v>
      </c>
      <c r="H59">
        <f t="shared" si="0"/>
        <v>3.6445332001997004E-2</v>
      </c>
    </row>
    <row r="60" spans="1:8" x14ac:dyDescent="0.3">
      <c r="A60" t="s">
        <v>893</v>
      </c>
      <c r="B60" t="s">
        <v>1</v>
      </c>
      <c r="C60">
        <v>3</v>
      </c>
      <c r="D60">
        <v>72</v>
      </c>
      <c r="E60">
        <v>2001</v>
      </c>
      <c r="F60">
        <v>95.2</v>
      </c>
      <c r="G60" t="s">
        <v>9</v>
      </c>
      <c r="H60">
        <f t="shared" si="0"/>
        <v>3.5982008995502246E-2</v>
      </c>
    </row>
    <row r="61" spans="1:8" x14ac:dyDescent="0.3">
      <c r="A61" t="s">
        <v>853</v>
      </c>
      <c r="B61" t="s">
        <v>1</v>
      </c>
      <c r="C61">
        <v>3</v>
      </c>
      <c r="D61">
        <v>71</v>
      </c>
      <c r="E61">
        <v>2001</v>
      </c>
      <c r="F61">
        <v>90.7</v>
      </c>
      <c r="G61" t="s">
        <v>9</v>
      </c>
      <c r="H61">
        <f t="shared" si="0"/>
        <v>3.548225887056472E-2</v>
      </c>
    </row>
    <row r="62" spans="1:8" x14ac:dyDescent="0.3">
      <c r="A62" t="s">
        <v>964</v>
      </c>
      <c r="B62" t="s">
        <v>1</v>
      </c>
      <c r="C62">
        <v>4</v>
      </c>
      <c r="D62">
        <v>92</v>
      </c>
      <c r="E62">
        <v>2004</v>
      </c>
      <c r="F62">
        <v>85.2</v>
      </c>
      <c r="G62" t="s">
        <v>9</v>
      </c>
      <c r="H62">
        <f t="shared" si="0"/>
        <v>4.590818363273453E-2</v>
      </c>
    </row>
    <row r="63" spans="1:8" x14ac:dyDescent="0.3">
      <c r="A63" t="s">
        <v>924</v>
      </c>
      <c r="B63" t="s">
        <v>1</v>
      </c>
      <c r="C63">
        <v>4</v>
      </c>
      <c r="D63">
        <v>94</v>
      </c>
      <c r="E63">
        <v>1999</v>
      </c>
      <c r="F63">
        <v>88.8</v>
      </c>
      <c r="G63" t="s">
        <v>9</v>
      </c>
      <c r="H63">
        <f t="shared" si="0"/>
        <v>4.7023511755877941E-2</v>
      </c>
    </row>
    <row r="64" spans="1:8" x14ac:dyDescent="0.3">
      <c r="A64" t="s">
        <v>884</v>
      </c>
      <c r="B64" t="s">
        <v>1</v>
      </c>
      <c r="C64">
        <v>4</v>
      </c>
      <c r="D64">
        <v>92</v>
      </c>
      <c r="E64">
        <v>2006</v>
      </c>
      <c r="F64">
        <v>44.5</v>
      </c>
      <c r="G64" t="s">
        <v>0</v>
      </c>
      <c r="H64">
        <f t="shared" si="0"/>
        <v>4.5862412761714856E-2</v>
      </c>
    </row>
    <row r="65" spans="1:8" x14ac:dyDescent="0.3">
      <c r="A65" t="s">
        <v>968</v>
      </c>
      <c r="B65" t="s">
        <v>1</v>
      </c>
      <c r="C65">
        <v>4</v>
      </c>
      <c r="D65">
        <v>94</v>
      </c>
      <c r="E65">
        <v>2000</v>
      </c>
      <c r="F65">
        <v>58</v>
      </c>
      <c r="G65" t="s">
        <v>0</v>
      </c>
      <c r="H65">
        <f t="shared" si="0"/>
        <v>4.7E-2</v>
      </c>
    </row>
    <row r="66" spans="1:8" x14ac:dyDescent="0.3">
      <c r="A66" t="s">
        <v>928</v>
      </c>
      <c r="B66" t="s">
        <v>1</v>
      </c>
      <c r="C66">
        <v>4</v>
      </c>
      <c r="D66">
        <v>91</v>
      </c>
      <c r="E66">
        <v>2003</v>
      </c>
      <c r="F66">
        <v>91.9</v>
      </c>
      <c r="G66" t="s">
        <v>9</v>
      </c>
      <c r="H66">
        <f t="shared" si="0"/>
        <v>4.5431852221667499E-2</v>
      </c>
    </row>
    <row r="67" spans="1:8" x14ac:dyDescent="0.3">
      <c r="A67" t="s">
        <v>888</v>
      </c>
      <c r="B67" t="s">
        <v>1</v>
      </c>
      <c r="C67">
        <v>4</v>
      </c>
      <c r="D67">
        <v>94</v>
      </c>
      <c r="E67">
        <v>2001</v>
      </c>
      <c r="F67">
        <v>44</v>
      </c>
      <c r="G67" t="s">
        <v>0</v>
      </c>
      <c r="H67">
        <f t="shared" ref="H67:H121" si="1">D67/E67</f>
        <v>4.6976511744127938E-2</v>
      </c>
    </row>
    <row r="68" spans="1:8" x14ac:dyDescent="0.3">
      <c r="A68" t="s">
        <v>960</v>
      </c>
      <c r="B68" t="s">
        <v>1</v>
      </c>
      <c r="C68">
        <v>4</v>
      </c>
      <c r="D68">
        <v>90</v>
      </c>
      <c r="E68">
        <v>2003</v>
      </c>
      <c r="F68">
        <v>63.4</v>
      </c>
      <c r="G68" t="s">
        <v>0</v>
      </c>
      <c r="H68">
        <f t="shared" si="1"/>
        <v>4.4932601098352475E-2</v>
      </c>
    </row>
    <row r="69" spans="1:8" x14ac:dyDescent="0.3">
      <c r="A69" t="s">
        <v>920</v>
      </c>
      <c r="B69" t="s">
        <v>1</v>
      </c>
      <c r="C69">
        <v>4</v>
      </c>
      <c r="D69">
        <v>92</v>
      </c>
      <c r="E69">
        <v>2001</v>
      </c>
      <c r="F69">
        <v>54.3</v>
      </c>
      <c r="G69" t="s">
        <v>0</v>
      </c>
      <c r="H69">
        <f t="shared" si="1"/>
        <v>4.5977011494252873E-2</v>
      </c>
    </row>
    <row r="70" spans="1:8" x14ac:dyDescent="0.3">
      <c r="A70" t="s">
        <v>880</v>
      </c>
      <c r="B70" t="s">
        <v>1</v>
      </c>
      <c r="C70">
        <v>4</v>
      </c>
      <c r="D70">
        <v>91</v>
      </c>
      <c r="E70">
        <v>2000</v>
      </c>
      <c r="F70">
        <v>63</v>
      </c>
      <c r="G70" t="s">
        <v>0</v>
      </c>
      <c r="H70">
        <f t="shared" si="1"/>
        <v>4.5499999999999999E-2</v>
      </c>
    </row>
    <row r="71" spans="1:8" x14ac:dyDescent="0.3">
      <c r="A71" t="s">
        <v>956</v>
      </c>
      <c r="B71" t="s">
        <v>1</v>
      </c>
      <c r="C71">
        <v>4</v>
      </c>
      <c r="D71">
        <v>94</v>
      </c>
      <c r="E71">
        <v>2000</v>
      </c>
      <c r="F71">
        <v>57.6</v>
      </c>
      <c r="G71" t="s">
        <v>0</v>
      </c>
      <c r="H71">
        <f t="shared" si="1"/>
        <v>4.7E-2</v>
      </c>
    </row>
    <row r="72" spans="1:8" x14ac:dyDescent="0.3">
      <c r="A72" t="s">
        <v>916</v>
      </c>
      <c r="B72" t="s">
        <v>1</v>
      </c>
      <c r="C72">
        <v>4</v>
      </c>
      <c r="D72">
        <v>97</v>
      </c>
      <c r="E72">
        <v>2003</v>
      </c>
      <c r="F72">
        <v>49.6</v>
      </c>
      <c r="G72" t="s">
        <v>0</v>
      </c>
      <c r="H72">
        <f t="shared" si="1"/>
        <v>4.8427358961557664E-2</v>
      </c>
    </row>
    <row r="73" spans="1:8" x14ac:dyDescent="0.3">
      <c r="A73" t="s">
        <v>876</v>
      </c>
      <c r="B73" t="s">
        <v>1</v>
      </c>
      <c r="C73">
        <v>4</v>
      </c>
      <c r="D73">
        <v>96</v>
      </c>
      <c r="E73">
        <v>2001</v>
      </c>
      <c r="F73">
        <v>59.7</v>
      </c>
      <c r="G73" t="s">
        <v>0</v>
      </c>
      <c r="H73">
        <f t="shared" si="1"/>
        <v>4.7976011994002997E-2</v>
      </c>
    </row>
    <row r="74" spans="1:8" x14ac:dyDescent="0.3">
      <c r="A74" t="s">
        <v>952</v>
      </c>
      <c r="B74" t="s">
        <v>1</v>
      </c>
      <c r="C74">
        <v>4</v>
      </c>
      <c r="D74">
        <v>94</v>
      </c>
      <c r="E74">
        <v>2002</v>
      </c>
      <c r="F74">
        <v>52.8</v>
      </c>
      <c r="G74" t="s">
        <v>0</v>
      </c>
      <c r="H74">
        <f t="shared" si="1"/>
        <v>4.6953046953046952E-2</v>
      </c>
    </row>
    <row r="75" spans="1:8" x14ac:dyDescent="0.3">
      <c r="A75" t="s">
        <v>912</v>
      </c>
      <c r="B75" t="s">
        <v>1</v>
      </c>
      <c r="C75">
        <v>4</v>
      </c>
      <c r="D75">
        <v>95</v>
      </c>
      <c r="E75">
        <v>2002</v>
      </c>
      <c r="F75">
        <v>63.6</v>
      </c>
      <c r="G75" t="s">
        <v>0</v>
      </c>
      <c r="H75">
        <f t="shared" si="1"/>
        <v>4.7452547452547456E-2</v>
      </c>
    </row>
    <row r="76" spans="1:8" x14ac:dyDescent="0.3">
      <c r="A76" t="s">
        <v>872</v>
      </c>
      <c r="B76" t="s">
        <v>1</v>
      </c>
      <c r="C76">
        <v>4</v>
      </c>
      <c r="D76">
        <v>92</v>
      </c>
      <c r="E76">
        <v>2000</v>
      </c>
      <c r="F76">
        <v>50.5</v>
      </c>
      <c r="G76" t="s">
        <v>0</v>
      </c>
      <c r="H76">
        <f t="shared" si="1"/>
        <v>4.5999999999999999E-2</v>
      </c>
    </row>
    <row r="77" spans="1:8" x14ac:dyDescent="0.3">
      <c r="A77" t="s">
        <v>948</v>
      </c>
      <c r="B77" t="s">
        <v>1</v>
      </c>
      <c r="C77">
        <v>4</v>
      </c>
      <c r="D77">
        <v>96</v>
      </c>
      <c r="E77">
        <v>2006</v>
      </c>
      <c r="F77">
        <v>51.3</v>
      </c>
      <c r="G77" t="s">
        <v>0</v>
      </c>
      <c r="H77">
        <f t="shared" si="1"/>
        <v>4.7856430707876374E-2</v>
      </c>
    </row>
    <row r="78" spans="1:8" x14ac:dyDescent="0.3">
      <c r="A78" t="s">
        <v>908</v>
      </c>
      <c r="B78" t="s">
        <v>1</v>
      </c>
      <c r="C78">
        <v>4</v>
      </c>
      <c r="D78">
        <v>92</v>
      </c>
      <c r="E78">
        <v>2003</v>
      </c>
      <c r="F78">
        <v>55.9</v>
      </c>
      <c r="G78" t="s">
        <v>0</v>
      </c>
      <c r="H78">
        <f t="shared" si="1"/>
        <v>4.593110334498253E-2</v>
      </c>
    </row>
    <row r="79" spans="1:8" x14ac:dyDescent="0.3">
      <c r="A79" t="s">
        <v>868</v>
      </c>
      <c r="B79" t="s">
        <v>1</v>
      </c>
      <c r="C79">
        <v>4</v>
      </c>
      <c r="D79">
        <v>97</v>
      </c>
      <c r="E79">
        <v>2002</v>
      </c>
      <c r="F79">
        <v>49.2</v>
      </c>
      <c r="G79" t="s">
        <v>0</v>
      </c>
      <c r="H79">
        <f t="shared" si="1"/>
        <v>4.8451548451548448E-2</v>
      </c>
    </row>
    <row r="80" spans="1:8" x14ac:dyDescent="0.3">
      <c r="A80" t="s">
        <v>944</v>
      </c>
      <c r="B80" t="s">
        <v>1</v>
      </c>
      <c r="C80">
        <v>4</v>
      </c>
      <c r="D80">
        <v>96</v>
      </c>
      <c r="E80">
        <v>2002</v>
      </c>
      <c r="F80">
        <v>56.2</v>
      </c>
      <c r="G80" t="s">
        <v>0</v>
      </c>
      <c r="H80">
        <f t="shared" si="1"/>
        <v>4.7952047952047952E-2</v>
      </c>
    </row>
    <row r="81" spans="1:8" x14ac:dyDescent="0.3">
      <c r="A81" t="s">
        <v>904</v>
      </c>
      <c r="B81" t="s">
        <v>1</v>
      </c>
      <c r="C81">
        <v>4</v>
      </c>
      <c r="D81">
        <v>95</v>
      </c>
      <c r="E81">
        <v>2002</v>
      </c>
      <c r="F81">
        <v>58</v>
      </c>
      <c r="G81" t="s">
        <v>0</v>
      </c>
      <c r="H81">
        <f t="shared" si="1"/>
        <v>4.7452547452547456E-2</v>
      </c>
    </row>
    <row r="82" spans="1:8" x14ac:dyDescent="0.3">
      <c r="A82" t="s">
        <v>864</v>
      </c>
      <c r="B82" t="s">
        <v>1</v>
      </c>
      <c r="C82">
        <v>4</v>
      </c>
      <c r="D82">
        <v>94</v>
      </c>
      <c r="E82">
        <v>2004</v>
      </c>
      <c r="F82">
        <v>50.7</v>
      </c>
      <c r="G82" t="s">
        <v>0</v>
      </c>
      <c r="H82">
        <f t="shared" si="1"/>
        <v>4.6906187624750496E-2</v>
      </c>
    </row>
    <row r="83" spans="1:8" x14ac:dyDescent="0.3">
      <c r="A83" t="s">
        <v>940</v>
      </c>
      <c r="B83" t="s">
        <v>1</v>
      </c>
      <c r="C83">
        <v>4</v>
      </c>
      <c r="D83">
        <v>93</v>
      </c>
      <c r="E83">
        <v>2000</v>
      </c>
      <c r="F83">
        <v>41.2</v>
      </c>
      <c r="G83" t="s">
        <v>0</v>
      </c>
      <c r="H83">
        <f t="shared" si="1"/>
        <v>4.65E-2</v>
      </c>
    </row>
    <row r="84" spans="1:8" x14ac:dyDescent="0.3">
      <c r="A84" t="s">
        <v>900</v>
      </c>
      <c r="B84" t="s">
        <v>1</v>
      </c>
      <c r="C84">
        <v>4</v>
      </c>
      <c r="D84">
        <v>96</v>
      </c>
      <c r="E84">
        <v>2001</v>
      </c>
      <c r="F84">
        <v>90.6</v>
      </c>
      <c r="G84" t="s">
        <v>9</v>
      </c>
      <c r="H84">
        <f t="shared" si="1"/>
        <v>4.7976011994002997E-2</v>
      </c>
    </row>
    <row r="85" spans="1:8" x14ac:dyDescent="0.3">
      <c r="A85" t="s">
        <v>860</v>
      </c>
      <c r="B85" t="s">
        <v>1</v>
      </c>
      <c r="C85">
        <v>4</v>
      </c>
      <c r="D85">
        <v>93</v>
      </c>
      <c r="E85">
        <v>2000</v>
      </c>
      <c r="F85">
        <v>59.3</v>
      </c>
      <c r="G85" t="s">
        <v>0</v>
      </c>
      <c r="H85">
        <f t="shared" si="1"/>
        <v>4.65E-2</v>
      </c>
    </row>
    <row r="86" spans="1:8" x14ac:dyDescent="0.3">
      <c r="A86" t="s">
        <v>936</v>
      </c>
      <c r="B86" t="s">
        <v>1</v>
      </c>
      <c r="C86">
        <v>4</v>
      </c>
      <c r="D86">
        <v>98</v>
      </c>
      <c r="E86">
        <v>2001</v>
      </c>
      <c r="F86">
        <v>68.900000000000006</v>
      </c>
      <c r="G86" t="s">
        <v>0</v>
      </c>
      <c r="H86">
        <f t="shared" si="1"/>
        <v>4.8975512243878062E-2</v>
      </c>
    </row>
    <row r="87" spans="1:8" x14ac:dyDescent="0.3">
      <c r="A87" t="s">
        <v>896</v>
      </c>
      <c r="B87" t="s">
        <v>1</v>
      </c>
      <c r="C87">
        <v>4</v>
      </c>
      <c r="D87">
        <v>92</v>
      </c>
      <c r="E87">
        <v>2001</v>
      </c>
      <c r="F87">
        <v>89.8</v>
      </c>
      <c r="G87" t="s">
        <v>9</v>
      </c>
      <c r="H87">
        <f t="shared" si="1"/>
        <v>4.5977011494252873E-2</v>
      </c>
    </row>
    <row r="88" spans="1:8" x14ac:dyDescent="0.3">
      <c r="A88" t="s">
        <v>856</v>
      </c>
      <c r="B88" t="s">
        <v>1</v>
      </c>
      <c r="C88">
        <v>4</v>
      </c>
      <c r="D88">
        <v>99</v>
      </c>
      <c r="E88">
        <v>2000</v>
      </c>
      <c r="F88">
        <v>51.4</v>
      </c>
      <c r="G88" t="s">
        <v>0</v>
      </c>
      <c r="H88">
        <f t="shared" si="1"/>
        <v>4.9500000000000002E-2</v>
      </c>
    </row>
    <row r="89" spans="1:8" x14ac:dyDescent="0.3">
      <c r="A89" t="s">
        <v>932</v>
      </c>
      <c r="B89" t="s">
        <v>1</v>
      </c>
      <c r="C89">
        <v>4</v>
      </c>
      <c r="D89">
        <v>95</v>
      </c>
      <c r="E89">
        <v>2003</v>
      </c>
      <c r="F89">
        <v>45.5</v>
      </c>
      <c r="G89" t="s">
        <v>0</v>
      </c>
      <c r="H89">
        <f t="shared" si="1"/>
        <v>4.7428856714927609E-2</v>
      </c>
    </row>
    <row r="90" spans="1:8" x14ac:dyDescent="0.3">
      <c r="A90" t="s">
        <v>892</v>
      </c>
      <c r="B90" t="s">
        <v>1</v>
      </c>
      <c r="C90">
        <v>4</v>
      </c>
      <c r="D90">
        <v>95</v>
      </c>
      <c r="E90">
        <v>2001</v>
      </c>
      <c r="F90">
        <v>47.8</v>
      </c>
      <c r="G90" t="s">
        <v>0</v>
      </c>
      <c r="H90">
        <f t="shared" si="1"/>
        <v>4.7476261869065464E-2</v>
      </c>
    </row>
    <row r="91" spans="1:8" x14ac:dyDescent="0.3">
      <c r="A91" t="s">
        <v>852</v>
      </c>
      <c r="B91" t="s">
        <v>1</v>
      </c>
      <c r="C91">
        <v>4</v>
      </c>
      <c r="D91">
        <v>93</v>
      </c>
      <c r="E91">
        <v>2001</v>
      </c>
      <c r="F91">
        <v>67.900000000000006</v>
      </c>
      <c r="G91" t="s">
        <v>0</v>
      </c>
      <c r="H91">
        <f t="shared" si="1"/>
        <v>4.6476761619190406E-2</v>
      </c>
    </row>
    <row r="92" spans="1:8" x14ac:dyDescent="0.3">
      <c r="A92" t="s">
        <v>963</v>
      </c>
      <c r="B92" t="s">
        <v>1</v>
      </c>
      <c r="C92">
        <v>5</v>
      </c>
      <c r="D92">
        <v>114</v>
      </c>
      <c r="E92">
        <v>2004</v>
      </c>
      <c r="F92">
        <v>52.4</v>
      </c>
      <c r="G92" t="s">
        <v>0</v>
      </c>
      <c r="H92">
        <f t="shared" si="1"/>
        <v>5.6886227544910177E-2</v>
      </c>
    </row>
    <row r="93" spans="1:8" x14ac:dyDescent="0.3">
      <c r="A93" t="s">
        <v>923</v>
      </c>
      <c r="B93" t="s">
        <v>1</v>
      </c>
      <c r="C93">
        <v>5</v>
      </c>
      <c r="D93">
        <v>118</v>
      </c>
      <c r="E93">
        <v>1999</v>
      </c>
      <c r="F93">
        <v>68.5</v>
      </c>
      <c r="G93" t="s">
        <v>0</v>
      </c>
      <c r="H93">
        <f t="shared" si="1"/>
        <v>5.9029514757378693E-2</v>
      </c>
    </row>
    <row r="94" spans="1:8" x14ac:dyDescent="0.3">
      <c r="A94" t="s">
        <v>883</v>
      </c>
      <c r="B94" t="s">
        <v>1</v>
      </c>
      <c r="C94">
        <v>5</v>
      </c>
      <c r="D94">
        <v>115</v>
      </c>
      <c r="E94">
        <v>2006</v>
      </c>
      <c r="F94">
        <v>42.8</v>
      </c>
      <c r="G94" t="s">
        <v>0</v>
      </c>
      <c r="H94">
        <f t="shared" si="1"/>
        <v>5.7328015952143568E-2</v>
      </c>
    </row>
    <row r="95" spans="1:8" x14ac:dyDescent="0.3">
      <c r="A95" t="s">
        <v>967</v>
      </c>
      <c r="B95" t="s">
        <v>1</v>
      </c>
      <c r="C95">
        <v>5</v>
      </c>
      <c r="D95">
        <v>115</v>
      </c>
      <c r="E95">
        <v>2000</v>
      </c>
      <c r="F95">
        <v>59.5</v>
      </c>
      <c r="G95" t="s">
        <v>0</v>
      </c>
      <c r="H95">
        <f t="shared" si="1"/>
        <v>5.7500000000000002E-2</v>
      </c>
    </row>
    <row r="96" spans="1:8" x14ac:dyDescent="0.3">
      <c r="A96" t="s">
        <v>927</v>
      </c>
      <c r="B96" t="s">
        <v>1</v>
      </c>
      <c r="C96">
        <v>5</v>
      </c>
      <c r="D96">
        <v>115</v>
      </c>
      <c r="E96">
        <v>2003</v>
      </c>
      <c r="F96">
        <v>52.6</v>
      </c>
      <c r="G96" t="s">
        <v>0</v>
      </c>
      <c r="H96">
        <f t="shared" si="1"/>
        <v>5.7413879181228158E-2</v>
      </c>
    </row>
    <row r="97" spans="1:8" x14ac:dyDescent="0.3">
      <c r="A97" t="s">
        <v>887</v>
      </c>
      <c r="B97" t="s">
        <v>1</v>
      </c>
      <c r="C97">
        <v>5</v>
      </c>
      <c r="D97">
        <v>116</v>
      </c>
      <c r="E97">
        <v>2001</v>
      </c>
      <c r="F97">
        <v>41.4</v>
      </c>
      <c r="G97" t="s">
        <v>0</v>
      </c>
      <c r="H97">
        <f t="shared" si="1"/>
        <v>5.7971014492753624E-2</v>
      </c>
    </row>
    <row r="98" spans="1:8" x14ac:dyDescent="0.3">
      <c r="A98" t="s">
        <v>959</v>
      </c>
      <c r="B98" t="s">
        <v>1</v>
      </c>
      <c r="C98">
        <v>5</v>
      </c>
      <c r="D98">
        <v>112</v>
      </c>
      <c r="E98">
        <v>2003</v>
      </c>
      <c r="F98">
        <v>50.7</v>
      </c>
      <c r="G98" t="s">
        <v>0</v>
      </c>
      <c r="H98">
        <f t="shared" si="1"/>
        <v>5.5916125811283073E-2</v>
      </c>
    </row>
    <row r="99" spans="1:8" x14ac:dyDescent="0.3">
      <c r="A99" t="s">
        <v>919</v>
      </c>
      <c r="B99" t="s">
        <v>1</v>
      </c>
      <c r="C99">
        <v>5</v>
      </c>
      <c r="D99">
        <v>113</v>
      </c>
      <c r="E99">
        <v>2001</v>
      </c>
      <c r="F99">
        <v>47.7</v>
      </c>
      <c r="G99" t="s">
        <v>0</v>
      </c>
      <c r="H99">
        <f t="shared" si="1"/>
        <v>5.6471764117941033E-2</v>
      </c>
    </row>
    <row r="100" spans="1:8" x14ac:dyDescent="0.3">
      <c r="A100" t="s">
        <v>879</v>
      </c>
      <c r="B100" t="s">
        <v>1</v>
      </c>
      <c r="C100">
        <v>5</v>
      </c>
      <c r="D100">
        <v>113</v>
      </c>
      <c r="E100">
        <v>2000</v>
      </c>
      <c r="F100">
        <v>60.6</v>
      </c>
      <c r="G100" t="s">
        <v>0</v>
      </c>
      <c r="H100">
        <f t="shared" si="1"/>
        <v>5.6500000000000002E-2</v>
      </c>
    </row>
    <row r="101" spans="1:8" x14ac:dyDescent="0.3">
      <c r="A101" t="s">
        <v>955</v>
      </c>
      <c r="B101" t="s">
        <v>1</v>
      </c>
      <c r="C101">
        <v>5</v>
      </c>
      <c r="D101">
        <v>115</v>
      </c>
      <c r="E101">
        <v>2000</v>
      </c>
      <c r="F101">
        <v>55.6</v>
      </c>
      <c r="G101" t="s">
        <v>0</v>
      </c>
      <c r="H101">
        <f t="shared" si="1"/>
        <v>5.7500000000000002E-2</v>
      </c>
    </row>
    <row r="102" spans="1:8" x14ac:dyDescent="0.3">
      <c r="A102" t="s">
        <v>915</v>
      </c>
      <c r="B102" t="s">
        <v>1</v>
      </c>
      <c r="C102">
        <v>5</v>
      </c>
      <c r="D102">
        <v>120</v>
      </c>
      <c r="E102">
        <v>2003</v>
      </c>
      <c r="F102">
        <v>57.3</v>
      </c>
      <c r="G102" t="s">
        <v>0</v>
      </c>
      <c r="H102">
        <f t="shared" si="1"/>
        <v>5.9910134797803292E-2</v>
      </c>
    </row>
    <row r="103" spans="1:8" x14ac:dyDescent="0.3">
      <c r="A103" t="s">
        <v>875</v>
      </c>
      <c r="B103" t="s">
        <v>1</v>
      </c>
      <c r="C103">
        <v>5</v>
      </c>
      <c r="D103">
        <v>118</v>
      </c>
      <c r="E103">
        <v>2001</v>
      </c>
      <c r="F103">
        <v>65.099999999999994</v>
      </c>
      <c r="G103" t="s">
        <v>0</v>
      </c>
      <c r="H103">
        <f t="shared" si="1"/>
        <v>5.8970514742628682E-2</v>
      </c>
    </row>
    <row r="104" spans="1:8" x14ac:dyDescent="0.3">
      <c r="A104" t="s">
        <v>951</v>
      </c>
      <c r="B104" t="s">
        <v>1</v>
      </c>
      <c r="C104">
        <v>5</v>
      </c>
      <c r="D104">
        <v>116</v>
      </c>
      <c r="E104">
        <v>2002</v>
      </c>
      <c r="F104">
        <v>53.7</v>
      </c>
      <c r="G104" t="s">
        <v>0</v>
      </c>
      <c r="H104">
        <f t="shared" si="1"/>
        <v>5.7942057942057944E-2</v>
      </c>
    </row>
    <row r="105" spans="1:8" x14ac:dyDescent="0.3">
      <c r="A105" t="s">
        <v>911</v>
      </c>
      <c r="B105" t="s">
        <v>1</v>
      </c>
      <c r="C105">
        <v>5</v>
      </c>
      <c r="D105">
        <v>118</v>
      </c>
      <c r="E105">
        <v>2002</v>
      </c>
      <c r="F105">
        <v>65.5</v>
      </c>
      <c r="G105" t="s">
        <v>0</v>
      </c>
      <c r="H105">
        <f t="shared" si="1"/>
        <v>5.8941058941058944E-2</v>
      </c>
    </row>
    <row r="106" spans="1:8" x14ac:dyDescent="0.3">
      <c r="A106" t="s">
        <v>871</v>
      </c>
      <c r="B106" t="s">
        <v>1</v>
      </c>
      <c r="C106">
        <v>5</v>
      </c>
      <c r="D106">
        <v>113</v>
      </c>
      <c r="E106">
        <v>2000</v>
      </c>
      <c r="F106">
        <v>58.4</v>
      </c>
      <c r="G106" t="s">
        <v>0</v>
      </c>
      <c r="H106">
        <f t="shared" si="1"/>
        <v>5.6500000000000002E-2</v>
      </c>
    </row>
    <row r="107" spans="1:8" x14ac:dyDescent="0.3">
      <c r="A107" t="s">
        <v>947</v>
      </c>
      <c r="B107" t="s">
        <v>1</v>
      </c>
      <c r="C107">
        <v>5</v>
      </c>
      <c r="D107">
        <v>119</v>
      </c>
      <c r="E107">
        <v>2006</v>
      </c>
      <c r="F107">
        <v>48</v>
      </c>
      <c r="G107" t="s">
        <v>0</v>
      </c>
      <c r="H107">
        <f t="shared" si="1"/>
        <v>5.9322033898305086E-2</v>
      </c>
    </row>
    <row r="108" spans="1:8" x14ac:dyDescent="0.3">
      <c r="A108" t="s">
        <v>907</v>
      </c>
      <c r="B108" t="s">
        <v>1</v>
      </c>
      <c r="C108">
        <v>5</v>
      </c>
      <c r="D108">
        <v>115</v>
      </c>
      <c r="E108">
        <v>2003</v>
      </c>
      <c r="F108">
        <v>48.3</v>
      </c>
      <c r="G108" t="s">
        <v>0</v>
      </c>
      <c r="H108">
        <f t="shared" si="1"/>
        <v>5.7413879181228158E-2</v>
      </c>
    </row>
    <row r="109" spans="1:8" x14ac:dyDescent="0.3">
      <c r="A109" t="s">
        <v>867</v>
      </c>
      <c r="B109" t="s">
        <v>1</v>
      </c>
      <c r="C109">
        <v>5</v>
      </c>
      <c r="D109">
        <v>115</v>
      </c>
      <c r="E109">
        <v>2002</v>
      </c>
      <c r="F109">
        <v>45.9</v>
      </c>
      <c r="G109" t="s">
        <v>0</v>
      </c>
      <c r="H109">
        <f t="shared" si="1"/>
        <v>5.744255744255744E-2</v>
      </c>
    </row>
    <row r="110" spans="1:8" x14ac:dyDescent="0.3">
      <c r="A110" t="s">
        <v>943</v>
      </c>
      <c r="B110" t="s">
        <v>1</v>
      </c>
      <c r="C110">
        <v>5</v>
      </c>
      <c r="D110">
        <v>119</v>
      </c>
      <c r="E110">
        <v>2002</v>
      </c>
      <c r="F110">
        <v>52</v>
      </c>
      <c r="G110" t="s">
        <v>0</v>
      </c>
      <c r="H110">
        <f t="shared" si="1"/>
        <v>5.944055944055944E-2</v>
      </c>
    </row>
    <row r="111" spans="1:8" x14ac:dyDescent="0.3">
      <c r="A111" t="s">
        <v>903</v>
      </c>
      <c r="B111" t="s">
        <v>1</v>
      </c>
      <c r="C111">
        <v>5</v>
      </c>
      <c r="D111">
        <v>116</v>
      </c>
      <c r="E111">
        <v>2002</v>
      </c>
      <c r="F111">
        <v>58.9</v>
      </c>
      <c r="G111" t="s">
        <v>0</v>
      </c>
      <c r="H111">
        <f t="shared" si="1"/>
        <v>5.7942057942057944E-2</v>
      </c>
    </row>
    <row r="112" spans="1:8" x14ac:dyDescent="0.3">
      <c r="A112" t="s">
        <v>863</v>
      </c>
      <c r="B112" t="s">
        <v>1</v>
      </c>
      <c r="C112">
        <v>5</v>
      </c>
      <c r="D112">
        <v>115</v>
      </c>
      <c r="E112">
        <v>2004</v>
      </c>
      <c r="F112">
        <v>58.7</v>
      </c>
      <c r="G112" t="s">
        <v>0</v>
      </c>
      <c r="H112">
        <f t="shared" si="1"/>
        <v>5.738522954091816E-2</v>
      </c>
    </row>
    <row r="113" spans="1:8" x14ac:dyDescent="0.3">
      <c r="A113" t="s">
        <v>939</v>
      </c>
      <c r="B113" t="s">
        <v>1</v>
      </c>
      <c r="C113">
        <v>5</v>
      </c>
      <c r="D113">
        <v>115</v>
      </c>
      <c r="E113">
        <v>2000</v>
      </c>
      <c r="F113">
        <v>44.3</v>
      </c>
      <c r="G113" t="s">
        <v>0</v>
      </c>
      <c r="H113">
        <f t="shared" si="1"/>
        <v>5.7500000000000002E-2</v>
      </c>
    </row>
    <row r="114" spans="1:8" x14ac:dyDescent="0.3">
      <c r="A114" t="s">
        <v>899</v>
      </c>
      <c r="B114" t="s">
        <v>1</v>
      </c>
      <c r="C114">
        <v>5</v>
      </c>
      <c r="D114">
        <v>121</v>
      </c>
      <c r="E114">
        <v>2001</v>
      </c>
      <c r="F114">
        <v>52.6</v>
      </c>
      <c r="G114" t="s">
        <v>0</v>
      </c>
      <c r="H114">
        <f t="shared" si="1"/>
        <v>6.0469765117441281E-2</v>
      </c>
    </row>
    <row r="115" spans="1:8" x14ac:dyDescent="0.3">
      <c r="A115" t="s">
        <v>859</v>
      </c>
      <c r="B115" t="s">
        <v>1</v>
      </c>
      <c r="C115">
        <v>5</v>
      </c>
      <c r="D115">
        <v>115</v>
      </c>
      <c r="E115">
        <v>2000</v>
      </c>
      <c r="F115">
        <v>62.9</v>
      </c>
      <c r="G115" t="s">
        <v>0</v>
      </c>
      <c r="H115">
        <f t="shared" si="1"/>
        <v>5.7500000000000002E-2</v>
      </c>
    </row>
    <row r="116" spans="1:8" x14ac:dyDescent="0.3">
      <c r="A116" t="s">
        <v>935</v>
      </c>
      <c r="B116" t="s">
        <v>1</v>
      </c>
      <c r="C116">
        <v>5</v>
      </c>
      <c r="D116">
        <v>120</v>
      </c>
      <c r="E116">
        <v>2001</v>
      </c>
      <c r="F116">
        <v>55.8</v>
      </c>
      <c r="G116" t="s">
        <v>0</v>
      </c>
      <c r="H116">
        <f t="shared" si="1"/>
        <v>5.9970014992503748E-2</v>
      </c>
    </row>
    <row r="117" spans="1:8" x14ac:dyDescent="0.3">
      <c r="A117" t="s">
        <v>895</v>
      </c>
      <c r="B117" t="s">
        <v>1</v>
      </c>
      <c r="C117">
        <v>5</v>
      </c>
      <c r="D117">
        <v>116</v>
      </c>
      <c r="E117">
        <v>2001</v>
      </c>
      <c r="F117">
        <v>55.6</v>
      </c>
      <c r="G117" t="s">
        <v>0</v>
      </c>
      <c r="H117">
        <f t="shared" si="1"/>
        <v>5.7971014492753624E-2</v>
      </c>
    </row>
    <row r="118" spans="1:8" x14ac:dyDescent="0.3">
      <c r="A118" t="s">
        <v>855</v>
      </c>
      <c r="B118" t="s">
        <v>1</v>
      </c>
      <c r="C118">
        <v>5</v>
      </c>
      <c r="D118">
        <v>125</v>
      </c>
      <c r="E118">
        <v>2000</v>
      </c>
      <c r="F118">
        <v>40.9</v>
      </c>
      <c r="G118" t="s">
        <v>0</v>
      </c>
      <c r="H118">
        <f t="shared" si="1"/>
        <v>6.25E-2</v>
      </c>
    </row>
    <row r="119" spans="1:8" x14ac:dyDescent="0.3">
      <c r="A119" t="s">
        <v>931</v>
      </c>
      <c r="B119" t="s">
        <v>1</v>
      </c>
      <c r="C119">
        <v>5</v>
      </c>
      <c r="D119">
        <v>116</v>
      </c>
      <c r="E119">
        <v>2003</v>
      </c>
      <c r="F119">
        <v>45.7</v>
      </c>
      <c r="G119" t="s">
        <v>0</v>
      </c>
      <c r="H119">
        <f t="shared" si="1"/>
        <v>5.7913130304543183E-2</v>
      </c>
    </row>
    <row r="120" spans="1:8" x14ac:dyDescent="0.3">
      <c r="A120" t="s">
        <v>891</v>
      </c>
      <c r="B120" t="s">
        <v>1</v>
      </c>
      <c r="C120">
        <v>5</v>
      </c>
      <c r="D120">
        <v>117</v>
      </c>
      <c r="E120">
        <v>2001</v>
      </c>
      <c r="F120">
        <v>42.7</v>
      </c>
      <c r="G120" t="s">
        <v>0</v>
      </c>
      <c r="H120">
        <f t="shared" si="1"/>
        <v>5.8470764617691157E-2</v>
      </c>
    </row>
    <row r="121" spans="1:8" x14ac:dyDescent="0.3">
      <c r="A121" t="s">
        <v>851</v>
      </c>
      <c r="B121" t="s">
        <v>1</v>
      </c>
      <c r="C121">
        <v>5</v>
      </c>
      <c r="D121">
        <v>116</v>
      </c>
      <c r="E121">
        <v>2001</v>
      </c>
      <c r="F121">
        <v>44.8</v>
      </c>
      <c r="G121" t="s">
        <v>0</v>
      </c>
      <c r="H121">
        <f t="shared" si="1"/>
        <v>5.7971014492753624E-2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09D0-ABE1-4F60-87FF-E1219CBF4E2C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129</v>
      </c>
      <c r="B1" t="s">
        <v>128</v>
      </c>
      <c r="C1" t="s">
        <v>127</v>
      </c>
      <c r="D1" t="s">
        <v>126</v>
      </c>
      <c r="E1" t="s">
        <v>125</v>
      </c>
      <c r="F1" t="s">
        <v>124</v>
      </c>
      <c r="G1" t="s">
        <v>123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1086</v>
      </c>
      <c r="B2" t="s">
        <v>130</v>
      </c>
      <c r="C2">
        <v>0.3</v>
      </c>
      <c r="D2">
        <v>42</v>
      </c>
      <c r="E2">
        <v>2004</v>
      </c>
      <c r="F2">
        <v>99.9</v>
      </c>
      <c r="G2" t="s">
        <v>9</v>
      </c>
      <c r="H2">
        <f>D2/E2</f>
        <v>2.0958083832335328E-2</v>
      </c>
      <c r="J2" t="s">
        <v>1253</v>
      </c>
      <c r="K2">
        <f>AVERAGE(F2:F31)</f>
        <v>71.216666666666669</v>
      </c>
      <c r="L2">
        <f>MIN(F2:F31)</f>
        <v>46.6</v>
      </c>
      <c r="M2">
        <f>MAX(F2:F31)</f>
        <v>100</v>
      </c>
      <c r="N2">
        <f>AVERAGE(H2:H31)</f>
        <v>2.1564698525335758E-2</v>
      </c>
    </row>
    <row r="3" spans="1:14" x14ac:dyDescent="0.3">
      <c r="A3" t="s">
        <v>1046</v>
      </c>
      <c r="B3" t="s">
        <v>130</v>
      </c>
      <c r="C3">
        <v>0.3</v>
      </c>
      <c r="D3">
        <v>44</v>
      </c>
      <c r="E3">
        <v>1999</v>
      </c>
      <c r="F3">
        <v>97.6</v>
      </c>
      <c r="G3" t="s">
        <v>9</v>
      </c>
      <c r="H3">
        <f t="shared" ref="H3:H66" si="0">D3/E3</f>
        <v>2.2011005502751375E-2</v>
      </c>
      <c r="J3" t="s">
        <v>1254</v>
      </c>
      <c r="K3">
        <f>AVERAGE(F32:F61)</f>
        <v>83.296666666666653</v>
      </c>
      <c r="L3">
        <f>MIN(F32:F61)</f>
        <v>63.7</v>
      </c>
      <c r="M3">
        <f>MAX(F32:F61)</f>
        <v>97.4</v>
      </c>
      <c r="N3">
        <f>AVERAGE(H32:H61)</f>
        <v>3.7051288135864141E-2</v>
      </c>
    </row>
    <row r="4" spans="1:14" x14ac:dyDescent="0.3">
      <c r="A4" t="s">
        <v>1006</v>
      </c>
      <c r="B4" t="s">
        <v>130</v>
      </c>
      <c r="C4">
        <v>0.3</v>
      </c>
      <c r="D4">
        <v>42</v>
      </c>
      <c r="E4">
        <v>2006</v>
      </c>
      <c r="F4">
        <v>72.3</v>
      </c>
      <c r="G4" t="s">
        <v>0</v>
      </c>
      <c r="H4">
        <f t="shared" si="0"/>
        <v>2.0937188434695914E-2</v>
      </c>
      <c r="J4" t="s">
        <v>1255</v>
      </c>
      <c r="K4">
        <f>AVERAGE(F62:F91)</f>
        <v>69.209999999999994</v>
      </c>
      <c r="L4">
        <f>MIN(F62:F91)</f>
        <v>47.5</v>
      </c>
      <c r="M4">
        <f>MAX(F62:F91)</f>
        <v>96.1</v>
      </c>
      <c r="N4">
        <f>AVERAGE(H62:H91)</f>
        <v>5.2038310339601296E-2</v>
      </c>
    </row>
    <row r="5" spans="1:14" x14ac:dyDescent="0.3">
      <c r="A5" t="s">
        <v>1090</v>
      </c>
      <c r="B5" t="s">
        <v>130</v>
      </c>
      <c r="C5">
        <v>0.3</v>
      </c>
      <c r="D5">
        <v>44</v>
      </c>
      <c r="E5">
        <v>2000</v>
      </c>
      <c r="F5">
        <v>62.1</v>
      </c>
      <c r="G5" t="s">
        <v>0</v>
      </c>
      <c r="H5">
        <f t="shared" si="0"/>
        <v>2.1999999999999999E-2</v>
      </c>
      <c r="J5" t="s">
        <v>1256</v>
      </c>
      <c r="K5">
        <f>AVERAGE(F92:F121)</f>
        <v>56.523333333333348</v>
      </c>
      <c r="L5">
        <f>MIN(F92:F121)</f>
        <v>38.5</v>
      </c>
      <c r="M5">
        <f>MAX(F92:F121)</f>
        <v>73.2</v>
      </c>
      <c r="N5">
        <f>AVERAGE(H92:H121)</f>
        <v>6.7025332543338409E-2</v>
      </c>
    </row>
    <row r="6" spans="1:14" x14ac:dyDescent="0.3">
      <c r="A6" t="s">
        <v>1050</v>
      </c>
      <c r="B6" t="s">
        <v>130</v>
      </c>
      <c r="C6">
        <v>0.3</v>
      </c>
      <c r="D6">
        <v>43</v>
      </c>
      <c r="E6">
        <v>2003</v>
      </c>
      <c r="F6">
        <v>69.2</v>
      </c>
      <c r="G6" t="s">
        <v>0</v>
      </c>
      <c r="H6">
        <f t="shared" si="0"/>
        <v>2.1467798302546182E-2</v>
      </c>
    </row>
    <row r="7" spans="1:14" x14ac:dyDescent="0.3">
      <c r="A7" t="s">
        <v>1010</v>
      </c>
      <c r="B7" t="s">
        <v>130</v>
      </c>
      <c r="C7">
        <v>0.3</v>
      </c>
      <c r="D7">
        <v>44</v>
      </c>
      <c r="E7">
        <v>2001</v>
      </c>
      <c r="F7">
        <v>58.1</v>
      </c>
      <c r="G7" t="s">
        <v>0</v>
      </c>
      <c r="H7">
        <f t="shared" si="0"/>
        <v>2.1989005497251374E-2</v>
      </c>
    </row>
    <row r="8" spans="1:14" x14ac:dyDescent="0.3">
      <c r="A8" t="s">
        <v>1082</v>
      </c>
      <c r="B8" t="s">
        <v>130</v>
      </c>
      <c r="C8">
        <v>0.3</v>
      </c>
      <c r="D8">
        <v>41</v>
      </c>
      <c r="E8">
        <v>2003</v>
      </c>
      <c r="F8">
        <v>53.7</v>
      </c>
      <c r="G8" t="s">
        <v>0</v>
      </c>
      <c r="H8">
        <f t="shared" si="0"/>
        <v>2.0469296055916127E-2</v>
      </c>
    </row>
    <row r="9" spans="1:14" x14ac:dyDescent="0.3">
      <c r="A9" t="s">
        <v>1042</v>
      </c>
      <c r="B9" t="s">
        <v>130</v>
      </c>
      <c r="C9">
        <v>0.3</v>
      </c>
      <c r="D9">
        <v>42</v>
      </c>
      <c r="E9">
        <v>2001</v>
      </c>
      <c r="F9">
        <v>98</v>
      </c>
      <c r="G9" t="s">
        <v>9</v>
      </c>
      <c r="H9">
        <f t="shared" si="0"/>
        <v>2.0989505247376312E-2</v>
      </c>
    </row>
    <row r="10" spans="1:14" x14ac:dyDescent="0.3">
      <c r="A10" t="s">
        <v>1002</v>
      </c>
      <c r="B10" t="s">
        <v>130</v>
      </c>
      <c r="C10">
        <v>0.3</v>
      </c>
      <c r="D10">
        <v>42</v>
      </c>
      <c r="E10">
        <v>2000</v>
      </c>
      <c r="F10">
        <v>62.8</v>
      </c>
      <c r="G10" t="s">
        <v>0</v>
      </c>
      <c r="H10">
        <f t="shared" si="0"/>
        <v>2.1000000000000001E-2</v>
      </c>
    </row>
    <row r="11" spans="1:14" x14ac:dyDescent="0.3">
      <c r="A11" t="s">
        <v>1078</v>
      </c>
      <c r="B11" t="s">
        <v>130</v>
      </c>
      <c r="C11">
        <v>0.3</v>
      </c>
      <c r="D11">
        <v>43</v>
      </c>
      <c r="E11">
        <v>2000</v>
      </c>
      <c r="F11">
        <v>70.099999999999994</v>
      </c>
      <c r="G11" t="s">
        <v>0</v>
      </c>
      <c r="H11">
        <f t="shared" si="0"/>
        <v>2.1499999999999998E-2</v>
      </c>
    </row>
    <row r="12" spans="1:14" x14ac:dyDescent="0.3">
      <c r="A12" t="s">
        <v>1038</v>
      </c>
      <c r="B12" t="s">
        <v>130</v>
      </c>
      <c r="C12">
        <v>0.3</v>
      </c>
      <c r="D12">
        <v>44</v>
      </c>
      <c r="E12">
        <v>2003</v>
      </c>
      <c r="F12">
        <v>62.9</v>
      </c>
      <c r="G12" t="s">
        <v>0</v>
      </c>
      <c r="H12">
        <f t="shared" si="0"/>
        <v>2.196704942586121E-2</v>
      </c>
    </row>
    <row r="13" spans="1:14" x14ac:dyDescent="0.3">
      <c r="A13" t="s">
        <v>998</v>
      </c>
      <c r="B13" t="s">
        <v>130</v>
      </c>
      <c r="C13">
        <v>0.3</v>
      </c>
      <c r="D13">
        <v>44</v>
      </c>
      <c r="E13">
        <v>2001</v>
      </c>
      <c r="F13">
        <v>50.4</v>
      </c>
      <c r="G13" t="s">
        <v>0</v>
      </c>
      <c r="H13">
        <f t="shared" si="0"/>
        <v>2.1989005497251374E-2</v>
      </c>
    </row>
    <row r="14" spans="1:14" x14ac:dyDescent="0.3">
      <c r="A14" t="s">
        <v>1074</v>
      </c>
      <c r="B14" t="s">
        <v>130</v>
      </c>
      <c r="C14">
        <v>0.3</v>
      </c>
      <c r="D14">
        <v>43</v>
      </c>
      <c r="E14">
        <v>2002</v>
      </c>
      <c r="F14">
        <v>59.5</v>
      </c>
      <c r="G14" t="s">
        <v>0</v>
      </c>
      <c r="H14">
        <f t="shared" si="0"/>
        <v>2.147852147852148E-2</v>
      </c>
    </row>
    <row r="15" spans="1:14" x14ac:dyDescent="0.3">
      <c r="A15" t="s">
        <v>1034</v>
      </c>
      <c r="B15" t="s">
        <v>130</v>
      </c>
      <c r="C15">
        <v>0.3</v>
      </c>
      <c r="D15">
        <v>43</v>
      </c>
      <c r="E15">
        <v>2002</v>
      </c>
      <c r="F15">
        <v>61.5</v>
      </c>
      <c r="G15" t="s">
        <v>0</v>
      </c>
      <c r="H15">
        <f t="shared" si="0"/>
        <v>2.147852147852148E-2</v>
      </c>
    </row>
    <row r="16" spans="1:14" x14ac:dyDescent="0.3">
      <c r="A16" t="s">
        <v>994</v>
      </c>
      <c r="B16" t="s">
        <v>130</v>
      </c>
      <c r="C16">
        <v>0.3</v>
      </c>
      <c r="D16">
        <v>42</v>
      </c>
      <c r="E16">
        <v>2000</v>
      </c>
      <c r="F16">
        <v>64.599999999999994</v>
      </c>
      <c r="G16" t="s">
        <v>0</v>
      </c>
      <c r="H16">
        <f t="shared" si="0"/>
        <v>2.1000000000000001E-2</v>
      </c>
    </row>
    <row r="17" spans="1:8" x14ac:dyDescent="0.3">
      <c r="A17" t="s">
        <v>1070</v>
      </c>
      <c r="B17" t="s">
        <v>130</v>
      </c>
      <c r="C17">
        <v>0.3</v>
      </c>
      <c r="D17">
        <v>44</v>
      </c>
      <c r="E17">
        <v>2006</v>
      </c>
      <c r="F17">
        <v>47.8</v>
      </c>
      <c r="G17" t="s">
        <v>0</v>
      </c>
      <c r="H17">
        <f t="shared" si="0"/>
        <v>2.1934197407776669E-2</v>
      </c>
    </row>
    <row r="18" spans="1:8" x14ac:dyDescent="0.3">
      <c r="A18" t="s">
        <v>1030</v>
      </c>
      <c r="B18" t="s">
        <v>130</v>
      </c>
      <c r="C18">
        <v>0.3</v>
      </c>
      <c r="D18">
        <v>43</v>
      </c>
      <c r="E18">
        <v>2003</v>
      </c>
      <c r="F18">
        <v>92.2</v>
      </c>
      <c r="G18" t="s">
        <v>9</v>
      </c>
      <c r="H18">
        <f t="shared" si="0"/>
        <v>2.1467798302546182E-2</v>
      </c>
    </row>
    <row r="19" spans="1:8" x14ac:dyDescent="0.3">
      <c r="A19" t="s">
        <v>990</v>
      </c>
      <c r="B19" t="s">
        <v>130</v>
      </c>
      <c r="C19">
        <v>0.3</v>
      </c>
      <c r="D19">
        <v>43</v>
      </c>
      <c r="E19">
        <v>2002</v>
      </c>
      <c r="F19">
        <v>57.1</v>
      </c>
      <c r="G19" t="s">
        <v>0</v>
      </c>
      <c r="H19">
        <f t="shared" si="0"/>
        <v>2.147852147852148E-2</v>
      </c>
    </row>
    <row r="20" spans="1:8" x14ac:dyDescent="0.3">
      <c r="A20" t="s">
        <v>1066</v>
      </c>
      <c r="B20" t="s">
        <v>130</v>
      </c>
      <c r="C20">
        <v>0.3</v>
      </c>
      <c r="D20">
        <v>43</v>
      </c>
      <c r="E20">
        <v>2002</v>
      </c>
      <c r="F20">
        <v>100</v>
      </c>
      <c r="G20" t="s">
        <v>9</v>
      </c>
      <c r="H20">
        <f t="shared" si="0"/>
        <v>2.147852147852148E-2</v>
      </c>
    </row>
    <row r="21" spans="1:8" x14ac:dyDescent="0.3">
      <c r="A21" t="s">
        <v>1026</v>
      </c>
      <c r="B21" t="s">
        <v>130</v>
      </c>
      <c r="C21">
        <v>0.3</v>
      </c>
      <c r="D21">
        <v>44</v>
      </c>
      <c r="E21">
        <v>2002</v>
      </c>
      <c r="F21">
        <v>58.7</v>
      </c>
      <c r="G21" t="s">
        <v>0</v>
      </c>
      <c r="H21">
        <f t="shared" si="0"/>
        <v>2.197802197802198E-2</v>
      </c>
    </row>
    <row r="22" spans="1:8" x14ac:dyDescent="0.3">
      <c r="A22" t="s">
        <v>986</v>
      </c>
      <c r="B22" t="s">
        <v>130</v>
      </c>
      <c r="C22">
        <v>0.3</v>
      </c>
      <c r="D22">
        <v>44</v>
      </c>
      <c r="E22">
        <v>2004</v>
      </c>
      <c r="F22">
        <v>72.099999999999994</v>
      </c>
      <c r="G22" t="s">
        <v>0</v>
      </c>
      <c r="H22">
        <f t="shared" si="0"/>
        <v>2.1956087824351298E-2</v>
      </c>
    </row>
    <row r="23" spans="1:8" x14ac:dyDescent="0.3">
      <c r="A23" t="s">
        <v>1062</v>
      </c>
      <c r="B23" t="s">
        <v>130</v>
      </c>
      <c r="C23">
        <v>0.3</v>
      </c>
      <c r="D23">
        <v>43</v>
      </c>
      <c r="E23">
        <v>2000</v>
      </c>
      <c r="F23">
        <v>48.3</v>
      </c>
      <c r="G23" t="s">
        <v>0</v>
      </c>
      <c r="H23">
        <f t="shared" si="0"/>
        <v>2.1499999999999998E-2</v>
      </c>
    </row>
    <row r="24" spans="1:8" x14ac:dyDescent="0.3">
      <c r="A24" t="s">
        <v>1022</v>
      </c>
      <c r="B24" t="s">
        <v>130</v>
      </c>
      <c r="C24">
        <v>0.3</v>
      </c>
      <c r="D24">
        <v>44</v>
      </c>
      <c r="E24">
        <v>2001</v>
      </c>
      <c r="F24">
        <v>99.4</v>
      </c>
      <c r="G24" t="s">
        <v>9</v>
      </c>
      <c r="H24">
        <f t="shared" si="0"/>
        <v>2.1989005497251374E-2</v>
      </c>
    </row>
    <row r="25" spans="1:8" x14ac:dyDescent="0.3">
      <c r="A25" t="s">
        <v>982</v>
      </c>
      <c r="B25" t="s">
        <v>130</v>
      </c>
      <c r="C25">
        <v>0.3</v>
      </c>
      <c r="D25">
        <v>43</v>
      </c>
      <c r="E25">
        <v>2000</v>
      </c>
      <c r="F25">
        <v>70.400000000000006</v>
      </c>
      <c r="G25" t="s">
        <v>0</v>
      </c>
      <c r="H25">
        <f t="shared" si="0"/>
        <v>2.1499999999999998E-2</v>
      </c>
    </row>
    <row r="26" spans="1:8" x14ac:dyDescent="0.3">
      <c r="A26" t="s">
        <v>1058</v>
      </c>
      <c r="B26" t="s">
        <v>130</v>
      </c>
      <c r="C26">
        <v>0.3</v>
      </c>
      <c r="D26">
        <v>43</v>
      </c>
      <c r="E26">
        <v>2001</v>
      </c>
      <c r="F26">
        <v>66.8</v>
      </c>
      <c r="G26" t="s">
        <v>0</v>
      </c>
      <c r="H26">
        <f t="shared" si="0"/>
        <v>2.1489255372313842E-2</v>
      </c>
    </row>
    <row r="27" spans="1:8" x14ac:dyDescent="0.3">
      <c r="A27" t="s">
        <v>1018</v>
      </c>
      <c r="B27" t="s">
        <v>130</v>
      </c>
      <c r="C27">
        <v>0.3</v>
      </c>
      <c r="D27">
        <v>44</v>
      </c>
      <c r="E27">
        <v>2001</v>
      </c>
      <c r="F27">
        <v>64</v>
      </c>
      <c r="G27" t="s">
        <v>0</v>
      </c>
      <c r="H27">
        <f t="shared" si="0"/>
        <v>2.1989005497251374E-2</v>
      </c>
    </row>
    <row r="28" spans="1:8" x14ac:dyDescent="0.3">
      <c r="A28" t="s">
        <v>978</v>
      </c>
      <c r="B28" t="s">
        <v>130</v>
      </c>
      <c r="C28">
        <v>0.3</v>
      </c>
      <c r="D28">
        <v>44</v>
      </c>
      <c r="E28">
        <v>2000</v>
      </c>
      <c r="F28">
        <v>97.8</v>
      </c>
      <c r="G28" t="s">
        <v>9</v>
      </c>
      <c r="H28">
        <f t="shared" si="0"/>
        <v>2.1999999999999999E-2</v>
      </c>
    </row>
    <row r="29" spans="1:8" x14ac:dyDescent="0.3">
      <c r="A29" t="s">
        <v>1054</v>
      </c>
      <c r="B29" t="s">
        <v>130</v>
      </c>
      <c r="C29">
        <v>0.3</v>
      </c>
      <c r="D29">
        <v>44</v>
      </c>
      <c r="E29">
        <v>2003</v>
      </c>
      <c r="F29">
        <v>46.6</v>
      </c>
      <c r="G29" t="s">
        <v>0</v>
      </c>
      <c r="H29">
        <f t="shared" si="0"/>
        <v>2.196704942586121E-2</v>
      </c>
    </row>
    <row r="30" spans="1:8" x14ac:dyDescent="0.3">
      <c r="A30" t="s">
        <v>1014</v>
      </c>
      <c r="B30" t="s">
        <v>130</v>
      </c>
      <c r="C30">
        <v>0.3</v>
      </c>
      <c r="D30">
        <v>43</v>
      </c>
      <c r="E30">
        <v>2001</v>
      </c>
      <c r="F30">
        <v>99.8</v>
      </c>
      <c r="G30" t="s">
        <v>9</v>
      </c>
      <c r="H30">
        <f t="shared" si="0"/>
        <v>2.1489255372313842E-2</v>
      </c>
    </row>
    <row r="31" spans="1:8" x14ac:dyDescent="0.3">
      <c r="A31" t="s">
        <v>974</v>
      </c>
      <c r="B31" t="s">
        <v>130</v>
      </c>
      <c r="C31">
        <v>0.3</v>
      </c>
      <c r="D31">
        <v>43</v>
      </c>
      <c r="E31">
        <v>2001</v>
      </c>
      <c r="F31">
        <v>72.8</v>
      </c>
      <c r="G31" t="s">
        <v>0</v>
      </c>
      <c r="H31">
        <f t="shared" si="0"/>
        <v>2.1489255372313842E-2</v>
      </c>
    </row>
    <row r="32" spans="1:8" x14ac:dyDescent="0.3">
      <c r="A32" t="s">
        <v>1085</v>
      </c>
      <c r="B32" t="s">
        <v>130</v>
      </c>
      <c r="C32">
        <v>0.6</v>
      </c>
      <c r="D32">
        <v>73</v>
      </c>
      <c r="E32">
        <v>2004</v>
      </c>
      <c r="F32">
        <v>97.4</v>
      </c>
      <c r="G32" t="s">
        <v>9</v>
      </c>
      <c r="H32">
        <f t="shared" si="0"/>
        <v>3.6427145708582832E-2</v>
      </c>
    </row>
    <row r="33" spans="1:8" x14ac:dyDescent="0.3">
      <c r="A33" t="s">
        <v>1045</v>
      </c>
      <c r="B33" t="s">
        <v>130</v>
      </c>
      <c r="C33">
        <v>0.6</v>
      </c>
      <c r="D33">
        <v>75</v>
      </c>
      <c r="E33">
        <v>1999</v>
      </c>
      <c r="F33">
        <v>96.3</v>
      </c>
      <c r="G33" t="s">
        <v>9</v>
      </c>
      <c r="H33">
        <f t="shared" si="0"/>
        <v>3.7518759379689848E-2</v>
      </c>
    </row>
    <row r="34" spans="1:8" x14ac:dyDescent="0.3">
      <c r="A34" t="s">
        <v>1005</v>
      </c>
      <c r="B34" t="s">
        <v>130</v>
      </c>
      <c r="C34">
        <v>0.6</v>
      </c>
      <c r="D34">
        <v>73</v>
      </c>
      <c r="E34">
        <v>2006</v>
      </c>
      <c r="F34">
        <v>94.1</v>
      </c>
      <c r="G34" t="s">
        <v>9</v>
      </c>
      <c r="H34">
        <f t="shared" si="0"/>
        <v>3.6390827517447655E-2</v>
      </c>
    </row>
    <row r="35" spans="1:8" x14ac:dyDescent="0.3">
      <c r="A35" t="s">
        <v>1089</v>
      </c>
      <c r="B35" t="s">
        <v>130</v>
      </c>
      <c r="C35">
        <v>0.6</v>
      </c>
      <c r="D35">
        <v>75</v>
      </c>
      <c r="E35">
        <v>2000</v>
      </c>
      <c r="F35">
        <v>69.5</v>
      </c>
      <c r="G35" t="s">
        <v>0</v>
      </c>
      <c r="H35">
        <f t="shared" si="0"/>
        <v>3.7499999999999999E-2</v>
      </c>
    </row>
    <row r="36" spans="1:8" x14ac:dyDescent="0.3">
      <c r="A36" t="s">
        <v>1049</v>
      </c>
      <c r="B36" t="s">
        <v>130</v>
      </c>
      <c r="C36">
        <v>0.6</v>
      </c>
      <c r="D36">
        <v>74</v>
      </c>
      <c r="E36">
        <v>2003</v>
      </c>
      <c r="F36">
        <v>79.2</v>
      </c>
      <c r="G36" t="s">
        <v>0</v>
      </c>
      <c r="H36">
        <f t="shared" si="0"/>
        <v>3.6944583125312035E-2</v>
      </c>
    </row>
    <row r="37" spans="1:8" x14ac:dyDescent="0.3">
      <c r="A37" t="s">
        <v>1009</v>
      </c>
      <c r="B37" t="s">
        <v>130</v>
      </c>
      <c r="C37">
        <v>0.6</v>
      </c>
      <c r="D37">
        <v>75</v>
      </c>
      <c r="E37">
        <v>2001</v>
      </c>
      <c r="F37">
        <v>89.8</v>
      </c>
      <c r="G37" t="s">
        <v>9</v>
      </c>
      <c r="H37">
        <f t="shared" si="0"/>
        <v>3.7481259370314844E-2</v>
      </c>
    </row>
    <row r="38" spans="1:8" x14ac:dyDescent="0.3">
      <c r="A38" t="s">
        <v>1081</v>
      </c>
      <c r="B38" t="s">
        <v>130</v>
      </c>
      <c r="C38">
        <v>0.6</v>
      </c>
      <c r="D38">
        <v>72</v>
      </c>
      <c r="E38">
        <v>2003</v>
      </c>
      <c r="F38">
        <v>95.6</v>
      </c>
      <c r="G38" t="s">
        <v>9</v>
      </c>
      <c r="H38">
        <f t="shared" si="0"/>
        <v>3.594608087868198E-2</v>
      </c>
    </row>
    <row r="39" spans="1:8" x14ac:dyDescent="0.3">
      <c r="A39" t="s">
        <v>1041</v>
      </c>
      <c r="B39" t="s">
        <v>130</v>
      </c>
      <c r="C39">
        <v>0.6</v>
      </c>
      <c r="D39">
        <v>73</v>
      </c>
      <c r="E39">
        <v>2001</v>
      </c>
      <c r="F39">
        <v>96.8</v>
      </c>
      <c r="G39" t="s">
        <v>9</v>
      </c>
      <c r="H39">
        <f t="shared" si="0"/>
        <v>3.6481759120439779E-2</v>
      </c>
    </row>
    <row r="40" spans="1:8" x14ac:dyDescent="0.3">
      <c r="A40" t="s">
        <v>1001</v>
      </c>
      <c r="B40" t="s">
        <v>130</v>
      </c>
      <c r="C40">
        <v>0.6</v>
      </c>
      <c r="D40">
        <v>73</v>
      </c>
      <c r="E40">
        <v>2000</v>
      </c>
      <c r="F40">
        <v>70</v>
      </c>
      <c r="G40" t="s">
        <v>0</v>
      </c>
      <c r="H40">
        <f t="shared" si="0"/>
        <v>3.6499999999999998E-2</v>
      </c>
    </row>
    <row r="41" spans="1:8" x14ac:dyDescent="0.3">
      <c r="A41" t="s">
        <v>1077</v>
      </c>
      <c r="B41" t="s">
        <v>130</v>
      </c>
      <c r="C41">
        <v>0.6</v>
      </c>
      <c r="D41">
        <v>74</v>
      </c>
      <c r="E41">
        <v>2000</v>
      </c>
      <c r="F41">
        <v>96.7</v>
      </c>
      <c r="G41" t="s">
        <v>9</v>
      </c>
      <c r="H41">
        <f t="shared" si="0"/>
        <v>3.6999999999999998E-2</v>
      </c>
    </row>
    <row r="42" spans="1:8" x14ac:dyDescent="0.3">
      <c r="A42" t="s">
        <v>1037</v>
      </c>
      <c r="B42" t="s">
        <v>130</v>
      </c>
      <c r="C42">
        <v>0.6</v>
      </c>
      <c r="D42">
        <v>75</v>
      </c>
      <c r="E42">
        <v>2003</v>
      </c>
      <c r="F42">
        <v>97.3</v>
      </c>
      <c r="G42" t="s">
        <v>9</v>
      </c>
      <c r="H42">
        <f t="shared" si="0"/>
        <v>3.7443834248627059E-2</v>
      </c>
    </row>
    <row r="43" spans="1:8" x14ac:dyDescent="0.3">
      <c r="A43" t="s">
        <v>997</v>
      </c>
      <c r="B43" t="s">
        <v>130</v>
      </c>
      <c r="C43">
        <v>0.6</v>
      </c>
      <c r="D43">
        <v>75</v>
      </c>
      <c r="E43">
        <v>2001</v>
      </c>
      <c r="F43">
        <v>67.3</v>
      </c>
      <c r="G43" t="s">
        <v>0</v>
      </c>
      <c r="H43">
        <f t="shared" si="0"/>
        <v>3.7481259370314844E-2</v>
      </c>
    </row>
    <row r="44" spans="1:8" x14ac:dyDescent="0.3">
      <c r="A44" t="s">
        <v>1073</v>
      </c>
      <c r="B44" t="s">
        <v>130</v>
      </c>
      <c r="C44">
        <v>0.6</v>
      </c>
      <c r="D44">
        <v>74</v>
      </c>
      <c r="E44">
        <v>2002</v>
      </c>
      <c r="F44">
        <v>67.599999999999994</v>
      </c>
      <c r="G44" t="s">
        <v>0</v>
      </c>
      <c r="H44">
        <f t="shared" si="0"/>
        <v>3.696303696303696E-2</v>
      </c>
    </row>
    <row r="45" spans="1:8" x14ac:dyDescent="0.3">
      <c r="A45" t="s">
        <v>1033</v>
      </c>
      <c r="B45" t="s">
        <v>130</v>
      </c>
      <c r="C45">
        <v>0.6</v>
      </c>
      <c r="D45">
        <v>74</v>
      </c>
      <c r="E45">
        <v>2002</v>
      </c>
      <c r="F45">
        <v>89.8</v>
      </c>
      <c r="G45" t="s">
        <v>9</v>
      </c>
      <c r="H45">
        <f t="shared" si="0"/>
        <v>3.696303696303696E-2</v>
      </c>
    </row>
    <row r="46" spans="1:8" x14ac:dyDescent="0.3">
      <c r="A46" t="s">
        <v>993</v>
      </c>
      <c r="B46" t="s">
        <v>130</v>
      </c>
      <c r="C46">
        <v>0.6</v>
      </c>
      <c r="D46">
        <v>73</v>
      </c>
      <c r="E46">
        <v>2000</v>
      </c>
      <c r="F46">
        <v>88.5</v>
      </c>
      <c r="G46" t="s">
        <v>9</v>
      </c>
      <c r="H46">
        <f t="shared" si="0"/>
        <v>3.6499999999999998E-2</v>
      </c>
    </row>
    <row r="47" spans="1:8" x14ac:dyDescent="0.3">
      <c r="A47" t="s">
        <v>1069</v>
      </c>
      <c r="B47" t="s">
        <v>130</v>
      </c>
      <c r="C47">
        <v>0.6</v>
      </c>
      <c r="D47">
        <v>75</v>
      </c>
      <c r="E47">
        <v>2006</v>
      </c>
      <c r="F47">
        <v>65</v>
      </c>
      <c r="G47" t="s">
        <v>0</v>
      </c>
      <c r="H47">
        <f t="shared" si="0"/>
        <v>3.7387836490528417E-2</v>
      </c>
    </row>
    <row r="48" spans="1:8" x14ac:dyDescent="0.3">
      <c r="A48" t="s">
        <v>1029</v>
      </c>
      <c r="B48" t="s">
        <v>130</v>
      </c>
      <c r="C48">
        <v>0.6</v>
      </c>
      <c r="D48">
        <v>74</v>
      </c>
      <c r="E48">
        <v>2003</v>
      </c>
      <c r="F48">
        <v>91.8</v>
      </c>
      <c r="G48" t="s">
        <v>9</v>
      </c>
      <c r="H48">
        <f t="shared" si="0"/>
        <v>3.6944583125312035E-2</v>
      </c>
    </row>
    <row r="49" spans="1:8" x14ac:dyDescent="0.3">
      <c r="A49" t="s">
        <v>989</v>
      </c>
      <c r="B49" t="s">
        <v>130</v>
      </c>
      <c r="C49">
        <v>0.6</v>
      </c>
      <c r="D49">
        <v>74</v>
      </c>
      <c r="E49">
        <v>2002</v>
      </c>
      <c r="F49">
        <v>70.8</v>
      </c>
      <c r="G49" t="s">
        <v>0</v>
      </c>
      <c r="H49">
        <f t="shared" si="0"/>
        <v>3.696303696303696E-2</v>
      </c>
    </row>
    <row r="50" spans="1:8" x14ac:dyDescent="0.3">
      <c r="A50" t="s">
        <v>1065</v>
      </c>
      <c r="B50" t="s">
        <v>130</v>
      </c>
      <c r="C50">
        <v>0.6</v>
      </c>
      <c r="D50">
        <v>74</v>
      </c>
      <c r="E50">
        <v>2002</v>
      </c>
      <c r="F50">
        <v>74.7</v>
      </c>
      <c r="G50" t="s">
        <v>0</v>
      </c>
      <c r="H50">
        <f t="shared" si="0"/>
        <v>3.696303696303696E-2</v>
      </c>
    </row>
    <row r="51" spans="1:8" x14ac:dyDescent="0.3">
      <c r="A51" t="s">
        <v>1025</v>
      </c>
      <c r="B51" t="s">
        <v>130</v>
      </c>
      <c r="C51">
        <v>0.6</v>
      </c>
      <c r="D51">
        <v>75</v>
      </c>
      <c r="E51">
        <v>2002</v>
      </c>
      <c r="F51">
        <v>69.2</v>
      </c>
      <c r="G51" t="s">
        <v>0</v>
      </c>
      <c r="H51">
        <f t="shared" si="0"/>
        <v>3.7462537462537464E-2</v>
      </c>
    </row>
    <row r="52" spans="1:8" x14ac:dyDescent="0.3">
      <c r="A52" t="s">
        <v>985</v>
      </c>
      <c r="B52" t="s">
        <v>130</v>
      </c>
      <c r="C52">
        <v>0.6</v>
      </c>
      <c r="D52">
        <v>75</v>
      </c>
      <c r="E52">
        <v>2004</v>
      </c>
      <c r="F52">
        <v>76</v>
      </c>
      <c r="G52" t="s">
        <v>0</v>
      </c>
      <c r="H52">
        <f t="shared" si="0"/>
        <v>3.7425149700598799E-2</v>
      </c>
    </row>
    <row r="53" spans="1:8" x14ac:dyDescent="0.3">
      <c r="A53" t="s">
        <v>1061</v>
      </c>
      <c r="B53" t="s">
        <v>130</v>
      </c>
      <c r="C53">
        <v>0.6</v>
      </c>
      <c r="D53">
        <v>74</v>
      </c>
      <c r="E53">
        <v>2000</v>
      </c>
      <c r="F53">
        <v>90.5</v>
      </c>
      <c r="G53" t="s">
        <v>9</v>
      </c>
      <c r="H53">
        <f t="shared" si="0"/>
        <v>3.6999999999999998E-2</v>
      </c>
    </row>
    <row r="54" spans="1:8" x14ac:dyDescent="0.3">
      <c r="A54" t="s">
        <v>1021</v>
      </c>
      <c r="B54" t="s">
        <v>130</v>
      </c>
      <c r="C54">
        <v>0.6</v>
      </c>
      <c r="D54">
        <v>75</v>
      </c>
      <c r="E54">
        <v>2001</v>
      </c>
      <c r="F54">
        <v>96.1</v>
      </c>
      <c r="G54" t="s">
        <v>9</v>
      </c>
      <c r="H54">
        <f t="shared" si="0"/>
        <v>3.7481259370314844E-2</v>
      </c>
    </row>
    <row r="55" spans="1:8" x14ac:dyDescent="0.3">
      <c r="A55" t="s">
        <v>981</v>
      </c>
      <c r="B55" t="s">
        <v>130</v>
      </c>
      <c r="C55">
        <v>0.6</v>
      </c>
      <c r="D55">
        <v>74</v>
      </c>
      <c r="E55">
        <v>2000</v>
      </c>
      <c r="F55">
        <v>72.099999999999994</v>
      </c>
      <c r="G55" t="s">
        <v>0</v>
      </c>
      <c r="H55">
        <f t="shared" si="0"/>
        <v>3.6999999999999998E-2</v>
      </c>
    </row>
    <row r="56" spans="1:8" x14ac:dyDescent="0.3">
      <c r="A56" t="s">
        <v>1057</v>
      </c>
      <c r="B56" t="s">
        <v>130</v>
      </c>
      <c r="C56">
        <v>0.6</v>
      </c>
      <c r="D56">
        <v>74</v>
      </c>
      <c r="E56">
        <v>2001</v>
      </c>
      <c r="F56">
        <v>91.2</v>
      </c>
      <c r="G56" t="s">
        <v>9</v>
      </c>
      <c r="H56">
        <f t="shared" si="0"/>
        <v>3.6981509245377311E-2</v>
      </c>
    </row>
    <row r="57" spans="1:8" x14ac:dyDescent="0.3">
      <c r="A57" t="s">
        <v>1017</v>
      </c>
      <c r="B57" t="s">
        <v>130</v>
      </c>
      <c r="C57">
        <v>0.6</v>
      </c>
      <c r="D57">
        <v>75</v>
      </c>
      <c r="E57">
        <v>2001</v>
      </c>
      <c r="F57">
        <v>88.4</v>
      </c>
      <c r="G57" t="s">
        <v>9</v>
      </c>
      <c r="H57">
        <f t="shared" si="0"/>
        <v>3.7481259370314844E-2</v>
      </c>
    </row>
    <row r="58" spans="1:8" x14ac:dyDescent="0.3">
      <c r="A58" t="s">
        <v>977</v>
      </c>
      <c r="B58" t="s">
        <v>130</v>
      </c>
      <c r="C58">
        <v>0.6</v>
      </c>
      <c r="D58">
        <v>75</v>
      </c>
      <c r="E58">
        <v>2000</v>
      </c>
      <c r="F58">
        <v>94.2</v>
      </c>
      <c r="G58" t="s">
        <v>9</v>
      </c>
      <c r="H58">
        <f t="shared" si="0"/>
        <v>3.7499999999999999E-2</v>
      </c>
    </row>
    <row r="59" spans="1:8" x14ac:dyDescent="0.3">
      <c r="A59" t="s">
        <v>1053</v>
      </c>
      <c r="B59" t="s">
        <v>130</v>
      </c>
      <c r="C59">
        <v>0.6</v>
      </c>
      <c r="D59">
        <v>75</v>
      </c>
      <c r="E59">
        <v>2003</v>
      </c>
      <c r="F59">
        <v>63.7</v>
      </c>
      <c r="G59" t="s">
        <v>0</v>
      </c>
      <c r="H59">
        <f t="shared" si="0"/>
        <v>3.7443834248627059E-2</v>
      </c>
    </row>
    <row r="60" spans="1:8" x14ac:dyDescent="0.3">
      <c r="A60" t="s">
        <v>1013</v>
      </c>
      <c r="B60" t="s">
        <v>130</v>
      </c>
      <c r="C60">
        <v>0.6</v>
      </c>
      <c r="D60">
        <v>74</v>
      </c>
      <c r="E60">
        <v>2001</v>
      </c>
      <c r="F60">
        <v>66.400000000000006</v>
      </c>
      <c r="G60" t="s">
        <v>0</v>
      </c>
      <c r="H60">
        <f t="shared" si="0"/>
        <v>3.6981509245377311E-2</v>
      </c>
    </row>
    <row r="61" spans="1:8" x14ac:dyDescent="0.3">
      <c r="A61" t="s">
        <v>973</v>
      </c>
      <c r="B61" t="s">
        <v>130</v>
      </c>
      <c r="C61">
        <v>0.6</v>
      </c>
      <c r="D61">
        <v>74</v>
      </c>
      <c r="E61">
        <v>2001</v>
      </c>
      <c r="F61">
        <v>92.9</v>
      </c>
      <c r="G61" t="s">
        <v>9</v>
      </c>
      <c r="H61">
        <f t="shared" si="0"/>
        <v>3.6981509245377311E-2</v>
      </c>
    </row>
    <row r="62" spans="1:8" x14ac:dyDescent="0.3">
      <c r="A62" t="s">
        <v>1084</v>
      </c>
      <c r="B62" t="s">
        <v>130</v>
      </c>
      <c r="C62">
        <v>0.89999999999999902</v>
      </c>
      <c r="D62">
        <v>103</v>
      </c>
      <c r="E62">
        <v>2004</v>
      </c>
      <c r="F62">
        <v>95.6</v>
      </c>
      <c r="G62" t="s">
        <v>9</v>
      </c>
      <c r="H62">
        <f t="shared" si="0"/>
        <v>5.1397205588822353E-2</v>
      </c>
    </row>
    <row r="63" spans="1:8" x14ac:dyDescent="0.3">
      <c r="A63" t="s">
        <v>1044</v>
      </c>
      <c r="B63" t="s">
        <v>130</v>
      </c>
      <c r="C63">
        <v>0.89999999999999902</v>
      </c>
      <c r="D63">
        <v>105</v>
      </c>
      <c r="E63">
        <v>1999</v>
      </c>
      <c r="F63">
        <v>93.3</v>
      </c>
      <c r="G63" t="s">
        <v>9</v>
      </c>
      <c r="H63">
        <f t="shared" si="0"/>
        <v>5.2526263131565783E-2</v>
      </c>
    </row>
    <row r="64" spans="1:8" x14ac:dyDescent="0.3">
      <c r="A64" t="s">
        <v>1004</v>
      </c>
      <c r="B64" t="s">
        <v>130</v>
      </c>
      <c r="C64">
        <v>0.89999999999999902</v>
      </c>
      <c r="D64">
        <v>103</v>
      </c>
      <c r="E64">
        <v>2006</v>
      </c>
      <c r="F64">
        <v>50.8</v>
      </c>
      <c r="G64" t="s">
        <v>0</v>
      </c>
      <c r="H64">
        <f t="shared" si="0"/>
        <v>5.1345962113659022E-2</v>
      </c>
    </row>
    <row r="65" spans="1:8" x14ac:dyDescent="0.3">
      <c r="A65" t="s">
        <v>1088</v>
      </c>
      <c r="B65" t="s">
        <v>130</v>
      </c>
      <c r="C65">
        <v>0.89999999999999902</v>
      </c>
      <c r="D65">
        <v>105</v>
      </c>
      <c r="E65">
        <v>2000</v>
      </c>
      <c r="F65">
        <v>59.5</v>
      </c>
      <c r="G65" t="s">
        <v>0</v>
      </c>
      <c r="H65">
        <f t="shared" si="0"/>
        <v>5.2499999999999998E-2</v>
      </c>
    </row>
    <row r="66" spans="1:8" x14ac:dyDescent="0.3">
      <c r="A66" t="s">
        <v>1048</v>
      </c>
      <c r="B66" t="s">
        <v>130</v>
      </c>
      <c r="C66">
        <v>0.89999999999999902</v>
      </c>
      <c r="D66">
        <v>104</v>
      </c>
      <c r="E66">
        <v>2003</v>
      </c>
      <c r="F66">
        <v>89.8</v>
      </c>
      <c r="G66" t="s">
        <v>9</v>
      </c>
      <c r="H66">
        <f t="shared" si="0"/>
        <v>5.1922116824762853E-2</v>
      </c>
    </row>
    <row r="67" spans="1:8" x14ac:dyDescent="0.3">
      <c r="A67" t="s">
        <v>1008</v>
      </c>
      <c r="B67" t="s">
        <v>130</v>
      </c>
      <c r="C67">
        <v>0.89999999999999902</v>
      </c>
      <c r="D67">
        <v>105</v>
      </c>
      <c r="E67">
        <v>2001</v>
      </c>
      <c r="F67">
        <v>54.2</v>
      </c>
      <c r="G67" t="s">
        <v>0</v>
      </c>
      <c r="H67">
        <f t="shared" ref="H67:H121" si="1">D67/E67</f>
        <v>5.2473763118440778E-2</v>
      </c>
    </row>
    <row r="68" spans="1:8" x14ac:dyDescent="0.3">
      <c r="A68" t="s">
        <v>1080</v>
      </c>
      <c r="B68" t="s">
        <v>130</v>
      </c>
      <c r="C68">
        <v>0.89999999999999902</v>
      </c>
      <c r="D68">
        <v>102</v>
      </c>
      <c r="E68">
        <v>2003</v>
      </c>
      <c r="F68">
        <v>62.4</v>
      </c>
      <c r="G68" t="s">
        <v>0</v>
      </c>
      <c r="H68">
        <f t="shared" si="1"/>
        <v>5.0923614578132798E-2</v>
      </c>
    </row>
    <row r="69" spans="1:8" x14ac:dyDescent="0.3">
      <c r="A69" t="s">
        <v>1040</v>
      </c>
      <c r="B69" t="s">
        <v>130</v>
      </c>
      <c r="C69">
        <v>0.89999999999999902</v>
      </c>
      <c r="D69">
        <v>103</v>
      </c>
      <c r="E69">
        <v>2001</v>
      </c>
      <c r="F69">
        <v>56.6</v>
      </c>
      <c r="G69" t="s">
        <v>0</v>
      </c>
      <c r="H69">
        <f t="shared" si="1"/>
        <v>5.1474262868565719E-2</v>
      </c>
    </row>
    <row r="70" spans="1:8" x14ac:dyDescent="0.3">
      <c r="A70" t="s">
        <v>1000</v>
      </c>
      <c r="B70" t="s">
        <v>130</v>
      </c>
      <c r="C70">
        <v>0.89999999999999902</v>
      </c>
      <c r="D70">
        <v>103</v>
      </c>
      <c r="E70">
        <v>2000</v>
      </c>
      <c r="F70">
        <v>66.599999999999994</v>
      </c>
      <c r="G70" t="s">
        <v>0</v>
      </c>
      <c r="H70">
        <f t="shared" si="1"/>
        <v>5.1499999999999997E-2</v>
      </c>
    </row>
    <row r="71" spans="1:8" x14ac:dyDescent="0.3">
      <c r="A71" t="s">
        <v>1076</v>
      </c>
      <c r="B71" t="s">
        <v>130</v>
      </c>
      <c r="C71">
        <v>0.89999999999999902</v>
      </c>
      <c r="D71">
        <v>104</v>
      </c>
      <c r="E71">
        <v>2000</v>
      </c>
      <c r="F71">
        <v>68.099999999999994</v>
      </c>
      <c r="G71" t="s">
        <v>0</v>
      </c>
      <c r="H71">
        <f t="shared" si="1"/>
        <v>5.1999999999999998E-2</v>
      </c>
    </row>
    <row r="72" spans="1:8" x14ac:dyDescent="0.3">
      <c r="A72" t="s">
        <v>1036</v>
      </c>
      <c r="B72" t="s">
        <v>130</v>
      </c>
      <c r="C72">
        <v>0.89999999999999902</v>
      </c>
      <c r="D72">
        <v>105</v>
      </c>
      <c r="E72">
        <v>2003</v>
      </c>
      <c r="F72">
        <v>73.5</v>
      </c>
      <c r="G72" t="s">
        <v>0</v>
      </c>
      <c r="H72">
        <f t="shared" si="1"/>
        <v>5.2421367948077884E-2</v>
      </c>
    </row>
    <row r="73" spans="1:8" x14ac:dyDescent="0.3">
      <c r="A73" t="s">
        <v>996</v>
      </c>
      <c r="B73" t="s">
        <v>130</v>
      </c>
      <c r="C73">
        <v>0.89999999999999902</v>
      </c>
      <c r="D73">
        <v>105</v>
      </c>
      <c r="E73">
        <v>2001</v>
      </c>
      <c r="F73">
        <v>68.2</v>
      </c>
      <c r="G73" t="s">
        <v>0</v>
      </c>
      <c r="H73">
        <f t="shared" si="1"/>
        <v>5.2473763118440778E-2</v>
      </c>
    </row>
    <row r="74" spans="1:8" x14ac:dyDescent="0.3">
      <c r="A74" t="s">
        <v>1072</v>
      </c>
      <c r="B74" t="s">
        <v>130</v>
      </c>
      <c r="C74">
        <v>0.89999999999999902</v>
      </c>
      <c r="D74">
        <v>104</v>
      </c>
      <c r="E74">
        <v>2002</v>
      </c>
      <c r="F74">
        <v>65.5</v>
      </c>
      <c r="G74" t="s">
        <v>0</v>
      </c>
      <c r="H74">
        <f t="shared" si="1"/>
        <v>5.1948051948051951E-2</v>
      </c>
    </row>
    <row r="75" spans="1:8" x14ac:dyDescent="0.3">
      <c r="A75" t="s">
        <v>1032</v>
      </c>
      <c r="B75" t="s">
        <v>130</v>
      </c>
      <c r="C75">
        <v>0.89999999999999902</v>
      </c>
      <c r="D75">
        <v>104</v>
      </c>
      <c r="E75">
        <v>2002</v>
      </c>
      <c r="F75">
        <v>70.900000000000006</v>
      </c>
      <c r="G75" t="s">
        <v>0</v>
      </c>
      <c r="H75">
        <f t="shared" si="1"/>
        <v>5.1948051948051951E-2</v>
      </c>
    </row>
    <row r="76" spans="1:8" x14ac:dyDescent="0.3">
      <c r="A76" t="s">
        <v>992</v>
      </c>
      <c r="B76" t="s">
        <v>130</v>
      </c>
      <c r="C76">
        <v>0.89999999999999902</v>
      </c>
      <c r="D76">
        <v>103</v>
      </c>
      <c r="E76">
        <v>2000</v>
      </c>
      <c r="F76">
        <v>75.3</v>
      </c>
      <c r="G76" t="s">
        <v>0</v>
      </c>
      <c r="H76">
        <f t="shared" si="1"/>
        <v>5.1499999999999997E-2</v>
      </c>
    </row>
    <row r="77" spans="1:8" x14ac:dyDescent="0.3">
      <c r="A77" t="s">
        <v>1068</v>
      </c>
      <c r="B77" t="s">
        <v>130</v>
      </c>
      <c r="C77">
        <v>0.89999999999999902</v>
      </c>
      <c r="D77">
        <v>105</v>
      </c>
      <c r="E77">
        <v>2006</v>
      </c>
      <c r="F77">
        <v>49.9</v>
      </c>
      <c r="G77" t="s">
        <v>0</v>
      </c>
      <c r="H77">
        <f t="shared" si="1"/>
        <v>5.2342971086739784E-2</v>
      </c>
    </row>
    <row r="78" spans="1:8" x14ac:dyDescent="0.3">
      <c r="A78" t="s">
        <v>1028</v>
      </c>
      <c r="B78" t="s">
        <v>130</v>
      </c>
      <c r="C78">
        <v>0.89999999999999902</v>
      </c>
      <c r="D78">
        <v>104</v>
      </c>
      <c r="E78">
        <v>2003</v>
      </c>
      <c r="F78">
        <v>73.099999999999994</v>
      </c>
      <c r="G78" t="s">
        <v>0</v>
      </c>
      <c r="H78">
        <f t="shared" si="1"/>
        <v>5.1922116824762853E-2</v>
      </c>
    </row>
    <row r="79" spans="1:8" x14ac:dyDescent="0.3">
      <c r="A79" t="s">
        <v>988</v>
      </c>
      <c r="B79" t="s">
        <v>130</v>
      </c>
      <c r="C79">
        <v>0.89999999999999902</v>
      </c>
      <c r="D79">
        <v>104</v>
      </c>
      <c r="E79">
        <v>2002</v>
      </c>
      <c r="F79">
        <v>61.3</v>
      </c>
      <c r="G79" t="s">
        <v>0</v>
      </c>
      <c r="H79">
        <f t="shared" si="1"/>
        <v>5.1948051948051951E-2</v>
      </c>
    </row>
    <row r="80" spans="1:8" x14ac:dyDescent="0.3">
      <c r="A80" t="s">
        <v>1064</v>
      </c>
      <c r="B80" t="s">
        <v>130</v>
      </c>
      <c r="C80">
        <v>0.89999999999999902</v>
      </c>
      <c r="D80">
        <v>104</v>
      </c>
      <c r="E80">
        <v>2002</v>
      </c>
      <c r="F80">
        <v>56.7</v>
      </c>
      <c r="G80" t="s">
        <v>0</v>
      </c>
      <c r="H80">
        <f t="shared" si="1"/>
        <v>5.1948051948051951E-2</v>
      </c>
    </row>
    <row r="81" spans="1:8" x14ac:dyDescent="0.3">
      <c r="A81" t="s">
        <v>1024</v>
      </c>
      <c r="B81" t="s">
        <v>130</v>
      </c>
      <c r="C81">
        <v>0.89999999999999902</v>
      </c>
      <c r="D81">
        <v>105</v>
      </c>
      <c r="E81">
        <v>2002</v>
      </c>
      <c r="F81">
        <v>64.599999999999994</v>
      </c>
      <c r="G81" t="s">
        <v>0</v>
      </c>
      <c r="H81">
        <f t="shared" si="1"/>
        <v>5.2447552447552448E-2</v>
      </c>
    </row>
    <row r="82" spans="1:8" x14ac:dyDescent="0.3">
      <c r="A82" t="s">
        <v>984</v>
      </c>
      <c r="B82" t="s">
        <v>130</v>
      </c>
      <c r="C82">
        <v>0.89999999999999902</v>
      </c>
      <c r="D82">
        <v>105</v>
      </c>
      <c r="E82">
        <v>2004</v>
      </c>
      <c r="F82">
        <v>58.2</v>
      </c>
      <c r="G82" t="s">
        <v>0</v>
      </c>
      <c r="H82">
        <f t="shared" si="1"/>
        <v>5.239520958083832E-2</v>
      </c>
    </row>
    <row r="83" spans="1:8" x14ac:dyDescent="0.3">
      <c r="A83" t="s">
        <v>1060</v>
      </c>
      <c r="B83" t="s">
        <v>130</v>
      </c>
      <c r="C83">
        <v>0.89999999999999902</v>
      </c>
      <c r="D83">
        <v>104</v>
      </c>
      <c r="E83">
        <v>2000</v>
      </c>
      <c r="F83">
        <v>47.5</v>
      </c>
      <c r="G83" t="s">
        <v>0</v>
      </c>
      <c r="H83">
        <f t="shared" si="1"/>
        <v>5.1999999999999998E-2</v>
      </c>
    </row>
    <row r="84" spans="1:8" x14ac:dyDescent="0.3">
      <c r="A84" t="s">
        <v>1020</v>
      </c>
      <c r="B84" t="s">
        <v>130</v>
      </c>
      <c r="C84">
        <v>0.89999999999999902</v>
      </c>
      <c r="D84">
        <v>105</v>
      </c>
      <c r="E84">
        <v>2001</v>
      </c>
      <c r="F84">
        <v>92.3</v>
      </c>
      <c r="G84" t="s">
        <v>9</v>
      </c>
      <c r="H84">
        <f t="shared" si="1"/>
        <v>5.2473763118440778E-2</v>
      </c>
    </row>
    <row r="85" spans="1:8" x14ac:dyDescent="0.3">
      <c r="A85" t="s">
        <v>980</v>
      </c>
      <c r="B85" t="s">
        <v>130</v>
      </c>
      <c r="C85">
        <v>0.89999999999999902</v>
      </c>
      <c r="D85">
        <v>104</v>
      </c>
      <c r="E85">
        <v>2000</v>
      </c>
      <c r="F85">
        <v>70.5</v>
      </c>
      <c r="G85" t="s">
        <v>0</v>
      </c>
      <c r="H85">
        <f t="shared" si="1"/>
        <v>5.1999999999999998E-2</v>
      </c>
    </row>
    <row r="86" spans="1:8" x14ac:dyDescent="0.3">
      <c r="A86" t="s">
        <v>1056</v>
      </c>
      <c r="B86" t="s">
        <v>130</v>
      </c>
      <c r="C86">
        <v>0.89999999999999902</v>
      </c>
      <c r="D86">
        <v>104</v>
      </c>
      <c r="E86">
        <v>2001</v>
      </c>
      <c r="F86">
        <v>75.5</v>
      </c>
      <c r="G86" t="s">
        <v>0</v>
      </c>
      <c r="H86">
        <f t="shared" si="1"/>
        <v>5.1974012993503245E-2</v>
      </c>
    </row>
    <row r="87" spans="1:8" x14ac:dyDescent="0.3">
      <c r="A87" t="s">
        <v>1016</v>
      </c>
      <c r="B87" t="s">
        <v>130</v>
      </c>
      <c r="C87">
        <v>0.89999999999999902</v>
      </c>
      <c r="D87">
        <v>105</v>
      </c>
      <c r="E87">
        <v>2001</v>
      </c>
      <c r="F87">
        <v>63.2</v>
      </c>
      <c r="G87" t="s">
        <v>0</v>
      </c>
      <c r="H87">
        <f t="shared" si="1"/>
        <v>5.2473763118440778E-2</v>
      </c>
    </row>
    <row r="88" spans="1:8" x14ac:dyDescent="0.3">
      <c r="A88" t="s">
        <v>976</v>
      </c>
      <c r="B88" t="s">
        <v>130</v>
      </c>
      <c r="C88">
        <v>0.89999999999999902</v>
      </c>
      <c r="D88">
        <v>105</v>
      </c>
      <c r="E88">
        <v>2000</v>
      </c>
      <c r="F88">
        <v>95.5</v>
      </c>
      <c r="G88" t="s">
        <v>9</v>
      </c>
      <c r="H88">
        <f t="shared" si="1"/>
        <v>5.2499999999999998E-2</v>
      </c>
    </row>
    <row r="89" spans="1:8" x14ac:dyDescent="0.3">
      <c r="A89" t="s">
        <v>1052</v>
      </c>
      <c r="B89" t="s">
        <v>130</v>
      </c>
      <c r="C89">
        <v>0.89999999999999902</v>
      </c>
      <c r="D89">
        <v>105</v>
      </c>
      <c r="E89">
        <v>2003</v>
      </c>
      <c r="F89">
        <v>49.7</v>
      </c>
      <c r="G89" t="s">
        <v>0</v>
      </c>
      <c r="H89">
        <f t="shared" si="1"/>
        <v>5.2421367948077884E-2</v>
      </c>
    </row>
    <row r="90" spans="1:8" x14ac:dyDescent="0.3">
      <c r="A90" t="s">
        <v>1012</v>
      </c>
      <c r="B90" t="s">
        <v>130</v>
      </c>
      <c r="C90">
        <v>0.89999999999999902</v>
      </c>
      <c r="D90">
        <v>104</v>
      </c>
      <c r="E90">
        <v>2001</v>
      </c>
      <c r="F90">
        <v>96.1</v>
      </c>
      <c r="G90" t="s">
        <v>9</v>
      </c>
      <c r="H90">
        <f t="shared" si="1"/>
        <v>5.1974012993503245E-2</v>
      </c>
    </row>
    <row r="91" spans="1:8" x14ac:dyDescent="0.3">
      <c r="A91" t="s">
        <v>972</v>
      </c>
      <c r="B91" t="s">
        <v>130</v>
      </c>
      <c r="C91">
        <v>0.89999999999999902</v>
      </c>
      <c r="D91">
        <v>104</v>
      </c>
      <c r="E91">
        <v>2001</v>
      </c>
      <c r="F91">
        <v>71.900000000000006</v>
      </c>
      <c r="G91" t="s">
        <v>0</v>
      </c>
      <c r="H91">
        <f t="shared" si="1"/>
        <v>5.1974012993503245E-2</v>
      </c>
    </row>
    <row r="92" spans="1:8" x14ac:dyDescent="0.3">
      <c r="A92" t="s">
        <v>1083</v>
      </c>
      <c r="B92" t="s">
        <v>130</v>
      </c>
      <c r="C92">
        <v>1.2</v>
      </c>
      <c r="D92">
        <v>133</v>
      </c>
      <c r="E92">
        <v>2004</v>
      </c>
      <c r="F92">
        <v>67.400000000000006</v>
      </c>
      <c r="G92" t="s">
        <v>0</v>
      </c>
      <c r="H92">
        <f t="shared" si="1"/>
        <v>6.6367265469061881E-2</v>
      </c>
    </row>
    <row r="93" spans="1:8" x14ac:dyDescent="0.3">
      <c r="A93" t="s">
        <v>1043</v>
      </c>
      <c r="B93" t="s">
        <v>130</v>
      </c>
      <c r="C93">
        <v>1.2</v>
      </c>
      <c r="D93">
        <v>135</v>
      </c>
      <c r="E93">
        <v>1999</v>
      </c>
      <c r="F93">
        <v>73.2</v>
      </c>
      <c r="G93" t="s">
        <v>0</v>
      </c>
      <c r="H93">
        <f t="shared" si="1"/>
        <v>6.7533766883441718E-2</v>
      </c>
    </row>
    <row r="94" spans="1:8" x14ac:dyDescent="0.3">
      <c r="A94" t="s">
        <v>1003</v>
      </c>
      <c r="B94" t="s">
        <v>130</v>
      </c>
      <c r="C94">
        <v>1.2</v>
      </c>
      <c r="D94">
        <v>133</v>
      </c>
      <c r="E94">
        <v>2006</v>
      </c>
      <c r="F94">
        <v>38.5</v>
      </c>
      <c r="G94" t="s">
        <v>0</v>
      </c>
      <c r="H94">
        <f t="shared" si="1"/>
        <v>6.6301096709870389E-2</v>
      </c>
    </row>
    <row r="95" spans="1:8" x14ac:dyDescent="0.3">
      <c r="A95" t="s">
        <v>1087</v>
      </c>
      <c r="B95" t="s">
        <v>130</v>
      </c>
      <c r="C95">
        <v>1.2</v>
      </c>
      <c r="D95">
        <v>135</v>
      </c>
      <c r="E95">
        <v>2000</v>
      </c>
      <c r="F95">
        <v>55.1</v>
      </c>
      <c r="G95" t="s">
        <v>0</v>
      </c>
      <c r="H95">
        <f t="shared" si="1"/>
        <v>6.7500000000000004E-2</v>
      </c>
    </row>
    <row r="96" spans="1:8" x14ac:dyDescent="0.3">
      <c r="A96" t="s">
        <v>1047</v>
      </c>
      <c r="B96" t="s">
        <v>130</v>
      </c>
      <c r="C96">
        <v>1.2</v>
      </c>
      <c r="D96">
        <v>134</v>
      </c>
      <c r="E96">
        <v>2003</v>
      </c>
      <c r="F96">
        <v>52.3</v>
      </c>
      <c r="G96" t="s">
        <v>0</v>
      </c>
      <c r="H96">
        <f t="shared" si="1"/>
        <v>6.6899650524213677E-2</v>
      </c>
    </row>
    <row r="97" spans="1:8" x14ac:dyDescent="0.3">
      <c r="A97" t="s">
        <v>1007</v>
      </c>
      <c r="B97" t="s">
        <v>130</v>
      </c>
      <c r="C97">
        <v>1.2</v>
      </c>
      <c r="D97">
        <v>135</v>
      </c>
      <c r="E97">
        <v>2001</v>
      </c>
      <c r="F97">
        <v>43.4</v>
      </c>
      <c r="G97" t="s">
        <v>0</v>
      </c>
      <c r="H97">
        <f t="shared" si="1"/>
        <v>6.7466266866566718E-2</v>
      </c>
    </row>
    <row r="98" spans="1:8" x14ac:dyDescent="0.3">
      <c r="A98" t="s">
        <v>1079</v>
      </c>
      <c r="B98" t="s">
        <v>130</v>
      </c>
      <c r="C98">
        <v>1.2</v>
      </c>
      <c r="D98">
        <v>132</v>
      </c>
      <c r="E98">
        <v>2003</v>
      </c>
      <c r="F98">
        <v>46.6</v>
      </c>
      <c r="G98" t="s">
        <v>0</v>
      </c>
      <c r="H98">
        <f t="shared" si="1"/>
        <v>6.5901148277583629E-2</v>
      </c>
    </row>
    <row r="99" spans="1:8" x14ac:dyDescent="0.3">
      <c r="A99" t="s">
        <v>1039</v>
      </c>
      <c r="B99" t="s">
        <v>130</v>
      </c>
      <c r="C99">
        <v>1.2</v>
      </c>
      <c r="D99">
        <v>133</v>
      </c>
      <c r="E99">
        <v>2001</v>
      </c>
      <c r="F99">
        <v>59.3</v>
      </c>
      <c r="G99" t="s">
        <v>0</v>
      </c>
      <c r="H99">
        <f t="shared" si="1"/>
        <v>6.6466766616691653E-2</v>
      </c>
    </row>
    <row r="100" spans="1:8" x14ac:dyDescent="0.3">
      <c r="A100" t="s">
        <v>999</v>
      </c>
      <c r="B100" t="s">
        <v>130</v>
      </c>
      <c r="C100">
        <v>1.2</v>
      </c>
      <c r="D100">
        <v>133</v>
      </c>
      <c r="E100">
        <v>2000</v>
      </c>
      <c r="F100">
        <v>60.4</v>
      </c>
      <c r="G100" t="s">
        <v>0</v>
      </c>
      <c r="H100">
        <f t="shared" si="1"/>
        <v>6.6500000000000004E-2</v>
      </c>
    </row>
    <row r="101" spans="1:8" x14ac:dyDescent="0.3">
      <c r="A101" t="s">
        <v>1075</v>
      </c>
      <c r="B101" t="s">
        <v>130</v>
      </c>
      <c r="C101">
        <v>1.2</v>
      </c>
      <c r="D101">
        <v>134</v>
      </c>
      <c r="E101">
        <v>2000</v>
      </c>
      <c r="F101">
        <v>59</v>
      </c>
      <c r="G101" t="s">
        <v>0</v>
      </c>
      <c r="H101">
        <f t="shared" si="1"/>
        <v>6.7000000000000004E-2</v>
      </c>
    </row>
    <row r="102" spans="1:8" x14ac:dyDescent="0.3">
      <c r="A102" t="s">
        <v>1035</v>
      </c>
      <c r="B102" t="s">
        <v>130</v>
      </c>
      <c r="C102">
        <v>1.2</v>
      </c>
      <c r="D102">
        <v>135</v>
      </c>
      <c r="E102">
        <v>2003</v>
      </c>
      <c r="F102">
        <v>59.2</v>
      </c>
      <c r="G102" t="s">
        <v>0</v>
      </c>
      <c r="H102">
        <f t="shared" si="1"/>
        <v>6.7398901647528708E-2</v>
      </c>
    </row>
    <row r="103" spans="1:8" x14ac:dyDescent="0.3">
      <c r="A103" t="s">
        <v>995</v>
      </c>
      <c r="B103" t="s">
        <v>130</v>
      </c>
      <c r="C103">
        <v>1.2</v>
      </c>
      <c r="D103">
        <v>135</v>
      </c>
      <c r="E103">
        <v>2001</v>
      </c>
      <c r="F103">
        <v>59.5</v>
      </c>
      <c r="G103" t="s">
        <v>0</v>
      </c>
      <c r="H103">
        <f t="shared" si="1"/>
        <v>6.7466266866566718E-2</v>
      </c>
    </row>
    <row r="104" spans="1:8" x14ac:dyDescent="0.3">
      <c r="A104" t="s">
        <v>1071</v>
      </c>
      <c r="B104" t="s">
        <v>130</v>
      </c>
      <c r="C104">
        <v>1.2</v>
      </c>
      <c r="D104">
        <v>134</v>
      </c>
      <c r="E104">
        <v>2002</v>
      </c>
      <c r="F104">
        <v>62.8</v>
      </c>
      <c r="G104" t="s">
        <v>0</v>
      </c>
      <c r="H104">
        <f t="shared" si="1"/>
        <v>6.6933066933066929E-2</v>
      </c>
    </row>
    <row r="105" spans="1:8" x14ac:dyDescent="0.3">
      <c r="A105" t="s">
        <v>1031</v>
      </c>
      <c r="B105" t="s">
        <v>130</v>
      </c>
      <c r="C105">
        <v>1.2</v>
      </c>
      <c r="D105">
        <v>134</v>
      </c>
      <c r="E105">
        <v>2002</v>
      </c>
      <c r="F105">
        <v>68.099999999999994</v>
      </c>
      <c r="G105" t="s">
        <v>0</v>
      </c>
      <c r="H105">
        <f t="shared" si="1"/>
        <v>6.6933066933066929E-2</v>
      </c>
    </row>
    <row r="106" spans="1:8" x14ac:dyDescent="0.3">
      <c r="A106" t="s">
        <v>991</v>
      </c>
      <c r="B106" t="s">
        <v>130</v>
      </c>
      <c r="C106">
        <v>1.2</v>
      </c>
      <c r="D106">
        <v>133</v>
      </c>
      <c r="E106">
        <v>2000</v>
      </c>
      <c r="F106">
        <v>69.099999999999994</v>
      </c>
      <c r="G106" t="s">
        <v>0</v>
      </c>
      <c r="H106">
        <f t="shared" si="1"/>
        <v>6.6500000000000004E-2</v>
      </c>
    </row>
    <row r="107" spans="1:8" x14ac:dyDescent="0.3">
      <c r="A107" t="s">
        <v>1067</v>
      </c>
      <c r="B107" t="s">
        <v>130</v>
      </c>
      <c r="C107">
        <v>1.2</v>
      </c>
      <c r="D107">
        <v>135</v>
      </c>
      <c r="E107">
        <v>2006</v>
      </c>
      <c r="F107">
        <v>60.3</v>
      </c>
      <c r="G107" t="s">
        <v>0</v>
      </c>
      <c r="H107">
        <f t="shared" si="1"/>
        <v>6.7298105682951151E-2</v>
      </c>
    </row>
    <row r="108" spans="1:8" x14ac:dyDescent="0.3">
      <c r="A108" t="s">
        <v>1027</v>
      </c>
      <c r="B108" t="s">
        <v>130</v>
      </c>
      <c r="C108">
        <v>1.2</v>
      </c>
      <c r="D108">
        <v>134</v>
      </c>
      <c r="E108">
        <v>2003</v>
      </c>
      <c r="F108">
        <v>62.6</v>
      </c>
      <c r="G108" t="s">
        <v>0</v>
      </c>
      <c r="H108">
        <f t="shared" si="1"/>
        <v>6.6899650524213677E-2</v>
      </c>
    </row>
    <row r="109" spans="1:8" x14ac:dyDescent="0.3">
      <c r="A109" t="s">
        <v>987</v>
      </c>
      <c r="B109" t="s">
        <v>130</v>
      </c>
      <c r="C109">
        <v>1.2</v>
      </c>
      <c r="D109">
        <v>134</v>
      </c>
      <c r="E109">
        <v>2002</v>
      </c>
      <c r="F109">
        <v>55.9</v>
      </c>
      <c r="G109" t="s">
        <v>0</v>
      </c>
      <c r="H109">
        <f t="shared" si="1"/>
        <v>6.6933066933066929E-2</v>
      </c>
    </row>
    <row r="110" spans="1:8" x14ac:dyDescent="0.3">
      <c r="A110" t="s">
        <v>1063</v>
      </c>
      <c r="B110" t="s">
        <v>130</v>
      </c>
      <c r="C110">
        <v>1.2</v>
      </c>
      <c r="D110">
        <v>134</v>
      </c>
      <c r="E110">
        <v>2002</v>
      </c>
      <c r="F110">
        <v>52.4</v>
      </c>
      <c r="G110" t="s">
        <v>0</v>
      </c>
      <c r="H110">
        <f t="shared" si="1"/>
        <v>6.6933066933066929E-2</v>
      </c>
    </row>
    <row r="111" spans="1:8" x14ac:dyDescent="0.3">
      <c r="A111" t="s">
        <v>1023</v>
      </c>
      <c r="B111" t="s">
        <v>130</v>
      </c>
      <c r="C111">
        <v>1.2</v>
      </c>
      <c r="D111">
        <v>135</v>
      </c>
      <c r="E111">
        <v>2002</v>
      </c>
      <c r="F111">
        <v>55.9</v>
      </c>
      <c r="G111" t="s">
        <v>0</v>
      </c>
      <c r="H111">
        <f t="shared" si="1"/>
        <v>6.7432567432567439E-2</v>
      </c>
    </row>
    <row r="112" spans="1:8" x14ac:dyDescent="0.3">
      <c r="A112" t="s">
        <v>983</v>
      </c>
      <c r="B112" t="s">
        <v>130</v>
      </c>
      <c r="C112">
        <v>1.2</v>
      </c>
      <c r="D112">
        <v>135</v>
      </c>
      <c r="E112">
        <v>2004</v>
      </c>
      <c r="F112">
        <v>51.5</v>
      </c>
      <c r="G112" t="s">
        <v>0</v>
      </c>
      <c r="H112">
        <f t="shared" si="1"/>
        <v>6.7365269461077848E-2</v>
      </c>
    </row>
    <row r="113" spans="1:8" x14ac:dyDescent="0.3">
      <c r="A113" t="s">
        <v>1059</v>
      </c>
      <c r="B113" t="s">
        <v>130</v>
      </c>
      <c r="C113">
        <v>1.2</v>
      </c>
      <c r="D113">
        <v>134</v>
      </c>
      <c r="E113">
        <v>2000</v>
      </c>
      <c r="F113">
        <v>42.2</v>
      </c>
      <c r="G113" t="s">
        <v>0</v>
      </c>
      <c r="H113">
        <f t="shared" si="1"/>
        <v>6.7000000000000004E-2</v>
      </c>
    </row>
    <row r="114" spans="1:8" x14ac:dyDescent="0.3">
      <c r="A114" t="s">
        <v>1019</v>
      </c>
      <c r="B114" t="s">
        <v>130</v>
      </c>
      <c r="C114">
        <v>1.2</v>
      </c>
      <c r="D114">
        <v>135</v>
      </c>
      <c r="E114">
        <v>2001</v>
      </c>
      <c r="F114">
        <v>56.2</v>
      </c>
      <c r="G114" t="s">
        <v>0</v>
      </c>
      <c r="H114">
        <f t="shared" si="1"/>
        <v>6.7466266866566718E-2</v>
      </c>
    </row>
    <row r="115" spans="1:8" x14ac:dyDescent="0.3">
      <c r="A115" t="s">
        <v>979</v>
      </c>
      <c r="B115" t="s">
        <v>130</v>
      </c>
      <c r="C115">
        <v>1.2</v>
      </c>
      <c r="D115">
        <v>134</v>
      </c>
      <c r="E115">
        <v>2000</v>
      </c>
      <c r="F115">
        <v>54.3</v>
      </c>
      <c r="G115" t="s">
        <v>0</v>
      </c>
      <c r="H115">
        <f t="shared" si="1"/>
        <v>6.7000000000000004E-2</v>
      </c>
    </row>
    <row r="116" spans="1:8" x14ac:dyDescent="0.3">
      <c r="A116" t="s">
        <v>1055</v>
      </c>
      <c r="B116" t="s">
        <v>130</v>
      </c>
      <c r="C116">
        <v>1.2</v>
      </c>
      <c r="D116">
        <v>134</v>
      </c>
      <c r="E116">
        <v>2001</v>
      </c>
      <c r="F116">
        <v>65.2</v>
      </c>
      <c r="G116" t="s">
        <v>0</v>
      </c>
      <c r="H116">
        <f t="shared" si="1"/>
        <v>6.6966516741629192E-2</v>
      </c>
    </row>
    <row r="117" spans="1:8" x14ac:dyDescent="0.3">
      <c r="A117" t="s">
        <v>1015</v>
      </c>
      <c r="B117" t="s">
        <v>130</v>
      </c>
      <c r="C117">
        <v>1.2</v>
      </c>
      <c r="D117">
        <v>135</v>
      </c>
      <c r="E117">
        <v>2001</v>
      </c>
      <c r="F117">
        <v>58.8</v>
      </c>
      <c r="G117" t="s">
        <v>0</v>
      </c>
      <c r="H117">
        <f t="shared" si="1"/>
        <v>6.7466266866566718E-2</v>
      </c>
    </row>
    <row r="118" spans="1:8" x14ac:dyDescent="0.3">
      <c r="A118" t="s">
        <v>975</v>
      </c>
      <c r="B118" t="s">
        <v>130</v>
      </c>
      <c r="C118">
        <v>1.2</v>
      </c>
      <c r="D118">
        <v>135</v>
      </c>
      <c r="E118">
        <v>2000</v>
      </c>
      <c r="F118">
        <v>47.7</v>
      </c>
      <c r="G118" t="s">
        <v>0</v>
      </c>
      <c r="H118">
        <f t="shared" si="1"/>
        <v>6.7500000000000004E-2</v>
      </c>
    </row>
    <row r="119" spans="1:8" x14ac:dyDescent="0.3">
      <c r="A119" t="s">
        <v>1051</v>
      </c>
      <c r="B119" t="s">
        <v>130</v>
      </c>
      <c r="C119">
        <v>1.2</v>
      </c>
      <c r="D119">
        <v>135</v>
      </c>
      <c r="E119">
        <v>2003</v>
      </c>
      <c r="F119">
        <v>50.9</v>
      </c>
      <c r="G119" t="s">
        <v>0</v>
      </c>
      <c r="H119">
        <f t="shared" si="1"/>
        <v>6.7398901647528708E-2</v>
      </c>
    </row>
    <row r="120" spans="1:8" x14ac:dyDescent="0.3">
      <c r="A120" t="s">
        <v>1011</v>
      </c>
      <c r="B120" t="s">
        <v>130</v>
      </c>
      <c r="C120">
        <v>1.2</v>
      </c>
      <c r="D120">
        <v>134</v>
      </c>
      <c r="E120">
        <v>2001</v>
      </c>
      <c r="F120">
        <v>47.5</v>
      </c>
      <c r="G120" t="s">
        <v>0</v>
      </c>
      <c r="H120">
        <f t="shared" si="1"/>
        <v>6.6966516741629192E-2</v>
      </c>
    </row>
    <row r="121" spans="1:8" x14ac:dyDescent="0.3">
      <c r="A121" t="s">
        <v>971</v>
      </c>
      <c r="B121" t="s">
        <v>130</v>
      </c>
      <c r="C121">
        <v>1.2</v>
      </c>
      <c r="D121">
        <v>134</v>
      </c>
      <c r="E121">
        <v>2001</v>
      </c>
      <c r="F121">
        <v>60.4</v>
      </c>
      <c r="G121" t="s">
        <v>0</v>
      </c>
      <c r="H121">
        <f t="shared" si="1"/>
        <v>6.6966516741629192E-2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5BF1-122B-48BC-911B-C53F893B9174}">
  <dimension ref="B1:G41"/>
  <sheetViews>
    <sheetView tabSelected="1" workbookViewId="0">
      <selection activeCell="AE56" sqref="AE56"/>
    </sheetView>
  </sheetViews>
  <sheetFormatPr defaultRowHeight="14.4" x14ac:dyDescent="0.3"/>
  <cols>
    <col min="1" max="1" width="8.88671875" customWidth="1"/>
    <col min="2" max="7" width="15.77734375" customWidth="1"/>
  </cols>
  <sheetData>
    <row r="1" spans="2:7" x14ac:dyDescent="0.3">
      <c r="B1" s="1" t="s">
        <v>1212</v>
      </c>
      <c r="C1" s="1" t="s">
        <v>1213</v>
      </c>
      <c r="D1" s="1" t="s">
        <v>1214</v>
      </c>
      <c r="E1" s="1" t="s">
        <v>1215</v>
      </c>
      <c r="F1" t="s">
        <v>1216</v>
      </c>
      <c r="G1" t="s">
        <v>1257</v>
      </c>
    </row>
    <row r="2" spans="2:7" x14ac:dyDescent="0.3">
      <c r="B2" t="s">
        <v>1217</v>
      </c>
      <c r="C2">
        <v>42.966666666666669</v>
      </c>
      <c r="D2">
        <v>4</v>
      </c>
      <c r="E2">
        <v>84.5</v>
      </c>
      <c r="F2">
        <v>0.34422047092494112</v>
      </c>
      <c r="G2">
        <f>F2*100</f>
        <v>34.422047092494111</v>
      </c>
    </row>
    <row r="3" spans="2:7" x14ac:dyDescent="0.3">
      <c r="B3" t="s">
        <v>1218</v>
      </c>
      <c r="C3">
        <v>23.85</v>
      </c>
      <c r="D3">
        <v>5</v>
      </c>
      <c r="E3">
        <v>58</v>
      </c>
      <c r="F3">
        <v>0.4438040793879956</v>
      </c>
      <c r="G3">
        <f t="shared" ref="G3:G41" si="0">F3*100</f>
        <v>44.380407938799557</v>
      </c>
    </row>
    <row r="4" spans="2:7" x14ac:dyDescent="0.3">
      <c r="B4" s="1" t="s">
        <v>1219</v>
      </c>
      <c r="C4" s="1">
        <v>14.889999999999999</v>
      </c>
      <c r="D4" s="1">
        <v>0</v>
      </c>
      <c r="E4" s="1">
        <v>40.799999999999997</v>
      </c>
      <c r="F4">
        <v>0.53011812806293779</v>
      </c>
      <c r="G4">
        <f t="shared" si="0"/>
        <v>53.011812806293776</v>
      </c>
    </row>
    <row r="5" spans="2:7" x14ac:dyDescent="0.3">
      <c r="B5" t="s">
        <v>1220</v>
      </c>
      <c r="C5">
        <v>16.740000000000002</v>
      </c>
      <c r="D5">
        <v>2.9</v>
      </c>
      <c r="E5">
        <v>34.9</v>
      </c>
      <c r="F5">
        <v>0.58763068818641095</v>
      </c>
      <c r="G5">
        <f t="shared" si="0"/>
        <v>58.763068818641095</v>
      </c>
    </row>
    <row r="6" spans="2:7" x14ac:dyDescent="0.3">
      <c r="B6" t="s">
        <v>1237</v>
      </c>
      <c r="C6">
        <v>16.823333333333338</v>
      </c>
      <c r="D6">
        <v>0</v>
      </c>
      <c r="E6">
        <v>64</v>
      </c>
      <c r="F6">
        <v>0.3584560324863465</v>
      </c>
      <c r="G6">
        <f t="shared" si="0"/>
        <v>35.845603248634653</v>
      </c>
    </row>
    <row r="7" spans="2:7" x14ac:dyDescent="0.3">
      <c r="B7" t="s">
        <v>1238</v>
      </c>
      <c r="C7">
        <v>9.4699999999999989</v>
      </c>
      <c r="D7">
        <v>1</v>
      </c>
      <c r="E7">
        <v>24.3</v>
      </c>
      <c r="F7">
        <v>0.53718973902174105</v>
      </c>
      <c r="G7">
        <f t="shared" si="0"/>
        <v>53.718973902174106</v>
      </c>
    </row>
    <row r="8" spans="2:7" x14ac:dyDescent="0.3">
      <c r="B8" t="s">
        <v>1239</v>
      </c>
      <c r="C8">
        <v>8.7433333333333358</v>
      </c>
      <c r="D8">
        <v>0</v>
      </c>
      <c r="E8">
        <v>25</v>
      </c>
      <c r="F8">
        <v>0.62920791207824367</v>
      </c>
      <c r="G8">
        <f t="shared" si="0"/>
        <v>62.920791207824365</v>
      </c>
    </row>
    <row r="9" spans="2:7" x14ac:dyDescent="0.3">
      <c r="B9" t="s">
        <v>1240</v>
      </c>
      <c r="C9">
        <v>8.67</v>
      </c>
      <c r="D9">
        <v>1.9</v>
      </c>
      <c r="E9">
        <v>23.4</v>
      </c>
      <c r="F9">
        <v>0.69584270253069436</v>
      </c>
      <c r="G9">
        <f t="shared" si="0"/>
        <v>69.584270253069434</v>
      </c>
    </row>
    <row r="10" spans="2:7" x14ac:dyDescent="0.3">
      <c r="B10" t="s">
        <v>1221</v>
      </c>
      <c r="C10">
        <v>79.460000000000008</v>
      </c>
      <c r="D10">
        <v>45</v>
      </c>
      <c r="E10">
        <v>97.6</v>
      </c>
      <c r="F10">
        <v>0.1656496110547595</v>
      </c>
      <c r="G10">
        <f t="shared" si="0"/>
        <v>16.564961105475952</v>
      </c>
    </row>
    <row r="11" spans="2:7" x14ac:dyDescent="0.3">
      <c r="B11" t="s">
        <v>1222</v>
      </c>
      <c r="C11">
        <v>49.896666666666668</v>
      </c>
      <c r="D11">
        <v>17.899999999999999</v>
      </c>
      <c r="E11">
        <v>73.3</v>
      </c>
      <c r="F11">
        <v>0.23449563868642587</v>
      </c>
      <c r="G11">
        <f t="shared" si="0"/>
        <v>23.449563868642585</v>
      </c>
    </row>
    <row r="12" spans="2:7" x14ac:dyDescent="0.3">
      <c r="B12" s="1" t="s">
        <v>1223</v>
      </c>
      <c r="C12" s="1">
        <v>39.349999999999994</v>
      </c>
      <c r="D12" s="1">
        <v>11.1</v>
      </c>
      <c r="E12" s="1">
        <v>66.900000000000006</v>
      </c>
      <c r="F12">
        <v>0.28925700762237799</v>
      </c>
      <c r="G12">
        <f t="shared" si="0"/>
        <v>28.925700762237799</v>
      </c>
    </row>
    <row r="13" spans="2:7" x14ac:dyDescent="0.3">
      <c r="B13" t="s">
        <v>1224</v>
      </c>
      <c r="C13">
        <v>30.93</v>
      </c>
      <c r="D13">
        <v>7.2</v>
      </c>
      <c r="E13">
        <v>49.2</v>
      </c>
      <c r="F13">
        <v>0.33988063973439486</v>
      </c>
      <c r="G13">
        <f t="shared" si="0"/>
        <v>33.988063973439488</v>
      </c>
    </row>
    <row r="14" spans="2:7" x14ac:dyDescent="0.3">
      <c r="B14" t="s">
        <v>1241</v>
      </c>
      <c r="C14">
        <v>74.493333333333339</v>
      </c>
      <c r="D14">
        <v>31.6</v>
      </c>
      <c r="E14">
        <v>100</v>
      </c>
      <c r="F14">
        <v>0.16077694792106362</v>
      </c>
      <c r="G14">
        <f t="shared" si="0"/>
        <v>16.07769479210636</v>
      </c>
    </row>
    <row r="15" spans="2:7" x14ac:dyDescent="0.3">
      <c r="B15" t="s">
        <v>1242</v>
      </c>
      <c r="C15">
        <v>20.230000000000004</v>
      </c>
      <c r="D15">
        <v>0.8</v>
      </c>
      <c r="E15">
        <v>52</v>
      </c>
      <c r="F15">
        <v>0.27487711235650075</v>
      </c>
      <c r="G15">
        <f t="shared" si="0"/>
        <v>27.487711235650075</v>
      </c>
    </row>
    <row r="16" spans="2:7" x14ac:dyDescent="0.3">
      <c r="B16" t="s">
        <v>1243</v>
      </c>
      <c r="C16">
        <v>14.876666666666669</v>
      </c>
      <c r="D16">
        <v>3.6</v>
      </c>
      <c r="E16">
        <v>48.6</v>
      </c>
      <c r="F16">
        <v>0.36559449824587797</v>
      </c>
      <c r="G16">
        <f t="shared" si="0"/>
        <v>36.559449824587794</v>
      </c>
    </row>
    <row r="17" spans="2:7" x14ac:dyDescent="0.3">
      <c r="B17" t="s">
        <v>1244</v>
      </c>
      <c r="C17">
        <v>10.716666666666667</v>
      </c>
      <c r="D17">
        <v>3.2</v>
      </c>
      <c r="E17">
        <v>27.9</v>
      </c>
      <c r="F17">
        <v>0.44790094100717959</v>
      </c>
      <c r="G17">
        <f t="shared" si="0"/>
        <v>44.790094100717958</v>
      </c>
    </row>
    <row r="18" spans="2:7" x14ac:dyDescent="0.3">
      <c r="B18" t="s">
        <v>1225</v>
      </c>
      <c r="C18">
        <v>87.156666666666695</v>
      </c>
      <c r="D18">
        <v>62.5</v>
      </c>
      <c r="E18">
        <v>97.8</v>
      </c>
      <c r="F18">
        <v>8.9677150848058926E-2</v>
      </c>
      <c r="G18">
        <f t="shared" si="0"/>
        <v>8.9677150848058922</v>
      </c>
    </row>
    <row r="19" spans="2:7" x14ac:dyDescent="0.3">
      <c r="B19" t="s">
        <v>1226</v>
      </c>
      <c r="C19">
        <v>63.226666666666674</v>
      </c>
      <c r="D19">
        <v>42.6</v>
      </c>
      <c r="E19">
        <v>91.7</v>
      </c>
      <c r="F19">
        <v>0.12970370733091338</v>
      </c>
      <c r="G19">
        <f t="shared" si="0"/>
        <v>12.970370733091338</v>
      </c>
    </row>
    <row r="20" spans="2:7" x14ac:dyDescent="0.3">
      <c r="B20" s="1" t="s">
        <v>1227</v>
      </c>
      <c r="C20" s="1">
        <v>50.5</v>
      </c>
      <c r="D20" s="1">
        <v>34.9</v>
      </c>
      <c r="E20" s="1">
        <v>65.599999999999994</v>
      </c>
      <c r="F20">
        <v>0.16773632191154159</v>
      </c>
      <c r="G20">
        <f t="shared" si="0"/>
        <v>16.77363219115416</v>
      </c>
    </row>
    <row r="21" spans="2:7" x14ac:dyDescent="0.3">
      <c r="B21" t="s">
        <v>1228</v>
      </c>
      <c r="C21">
        <v>42.76</v>
      </c>
      <c r="D21">
        <v>29.6</v>
      </c>
      <c r="E21">
        <v>65</v>
      </c>
      <c r="F21">
        <v>0.20179286719325656</v>
      </c>
      <c r="G21">
        <f t="shared" si="0"/>
        <v>20.179286719325656</v>
      </c>
    </row>
    <row r="22" spans="2:7" x14ac:dyDescent="0.3">
      <c r="B22" t="s">
        <v>1245</v>
      </c>
      <c r="C22">
        <v>79.989999999999995</v>
      </c>
      <c r="D22">
        <v>44.7</v>
      </c>
      <c r="E22">
        <v>100</v>
      </c>
      <c r="F22">
        <v>8.2375048984060714E-2</v>
      </c>
      <c r="G22">
        <f t="shared" si="0"/>
        <v>8.2375048984060708</v>
      </c>
    </row>
    <row r="23" spans="2:7" x14ac:dyDescent="0.3">
      <c r="B23" t="s">
        <v>1246</v>
      </c>
      <c r="C23">
        <v>56.850000000000009</v>
      </c>
      <c r="D23">
        <v>16</v>
      </c>
      <c r="E23">
        <v>92.7</v>
      </c>
      <c r="F23">
        <v>0.14397510469313921</v>
      </c>
      <c r="G23">
        <f t="shared" si="0"/>
        <v>14.39751046931392</v>
      </c>
    </row>
    <row r="24" spans="2:7" x14ac:dyDescent="0.3">
      <c r="B24" t="s">
        <v>1247</v>
      </c>
      <c r="C24">
        <v>29.803333333333335</v>
      </c>
      <c r="D24">
        <v>5.6</v>
      </c>
      <c r="E24">
        <v>48.7</v>
      </c>
      <c r="F24">
        <v>0.20199130444232852</v>
      </c>
      <c r="G24">
        <f t="shared" si="0"/>
        <v>20.199130444232853</v>
      </c>
    </row>
    <row r="25" spans="2:7" x14ac:dyDescent="0.3">
      <c r="B25" t="s">
        <v>1248</v>
      </c>
      <c r="C25">
        <v>21.47333333333334</v>
      </c>
      <c r="D25">
        <v>2.6</v>
      </c>
      <c r="E25">
        <v>44.4</v>
      </c>
      <c r="F25">
        <v>0.25774838867671312</v>
      </c>
      <c r="G25">
        <f t="shared" si="0"/>
        <v>25.774838867671313</v>
      </c>
    </row>
    <row r="26" spans="2:7" x14ac:dyDescent="0.3">
      <c r="B26" t="s">
        <v>1229</v>
      </c>
      <c r="C26">
        <v>93.033333333333331</v>
      </c>
      <c r="D26">
        <v>78.7</v>
      </c>
      <c r="E26">
        <v>98.9</v>
      </c>
      <c r="F26">
        <v>4.7144145222527321E-2</v>
      </c>
      <c r="G26">
        <f t="shared" si="0"/>
        <v>4.7144145222527323</v>
      </c>
    </row>
    <row r="27" spans="2:7" x14ac:dyDescent="0.3">
      <c r="B27" t="s">
        <v>1230</v>
      </c>
      <c r="C27">
        <v>75.626666666666651</v>
      </c>
      <c r="D27">
        <v>45.4</v>
      </c>
      <c r="E27">
        <v>95.6</v>
      </c>
      <c r="F27">
        <v>6.8903178296068929E-2</v>
      </c>
      <c r="G27">
        <f t="shared" si="0"/>
        <v>6.890317829606893</v>
      </c>
    </row>
    <row r="28" spans="2:7" x14ac:dyDescent="0.3">
      <c r="B28" s="1" t="s">
        <v>1231</v>
      </c>
      <c r="C28" s="1">
        <v>57.553333333333327</v>
      </c>
      <c r="D28" s="1">
        <v>38</v>
      </c>
      <c r="E28" s="1">
        <v>96.4</v>
      </c>
      <c r="F28">
        <v>9.0028751018558187E-2</v>
      </c>
      <c r="G28">
        <f t="shared" si="0"/>
        <v>9.0028751018558193</v>
      </c>
    </row>
    <row r="29" spans="2:7" x14ac:dyDescent="0.3">
      <c r="B29" t="s">
        <v>1232</v>
      </c>
      <c r="C29">
        <v>50.01666666666668</v>
      </c>
      <c r="D29">
        <v>36.5</v>
      </c>
      <c r="E29">
        <v>73.5</v>
      </c>
      <c r="F29">
        <v>0.11029155755223015</v>
      </c>
      <c r="G29">
        <f t="shared" si="0"/>
        <v>11.029155755223014</v>
      </c>
    </row>
    <row r="30" spans="2:7" x14ac:dyDescent="0.3">
      <c r="B30" t="s">
        <v>1249</v>
      </c>
      <c r="C30">
        <v>72.896666666666675</v>
      </c>
      <c r="D30">
        <v>33</v>
      </c>
      <c r="E30">
        <v>100</v>
      </c>
      <c r="F30">
        <v>4.2286392429143324E-2</v>
      </c>
      <c r="G30">
        <f t="shared" si="0"/>
        <v>4.2286392429143325</v>
      </c>
    </row>
    <row r="31" spans="2:7" x14ac:dyDescent="0.3">
      <c r="B31" t="s">
        <v>1250</v>
      </c>
      <c r="C31">
        <v>71.13666666666667</v>
      </c>
      <c r="D31">
        <v>45.5</v>
      </c>
      <c r="E31">
        <v>97.6</v>
      </c>
      <c r="F31">
        <v>7.3227825971296706E-2</v>
      </c>
      <c r="G31">
        <f t="shared" si="0"/>
        <v>7.3227825971296703</v>
      </c>
    </row>
    <row r="32" spans="2:7" x14ac:dyDescent="0.3">
      <c r="B32" t="s">
        <v>1251</v>
      </c>
      <c r="C32">
        <v>53.693333333333321</v>
      </c>
      <c r="D32">
        <v>31.3</v>
      </c>
      <c r="E32">
        <v>88.6</v>
      </c>
      <c r="F32">
        <v>0.1031711487540258</v>
      </c>
      <c r="G32">
        <f t="shared" si="0"/>
        <v>10.317114875402581</v>
      </c>
    </row>
    <row r="33" spans="2:7" x14ac:dyDescent="0.3">
      <c r="B33" t="s">
        <v>1252</v>
      </c>
      <c r="C33">
        <v>45.396666666666675</v>
      </c>
      <c r="D33">
        <v>31</v>
      </c>
      <c r="E33">
        <v>60.6</v>
      </c>
      <c r="F33">
        <v>0.13298196581200503</v>
      </c>
      <c r="G33">
        <f t="shared" si="0"/>
        <v>13.298196581200502</v>
      </c>
    </row>
    <row r="34" spans="2:7" x14ac:dyDescent="0.3">
      <c r="B34" t="s">
        <v>1233</v>
      </c>
      <c r="C34">
        <v>94.430000000000021</v>
      </c>
      <c r="D34">
        <v>85.3</v>
      </c>
      <c r="E34">
        <v>98.6</v>
      </c>
      <c r="F34">
        <v>2.442894430436247E-2</v>
      </c>
      <c r="G34">
        <f t="shared" si="0"/>
        <v>2.442894430436247</v>
      </c>
    </row>
    <row r="35" spans="2:7" x14ac:dyDescent="0.3">
      <c r="B35" t="s">
        <v>1234</v>
      </c>
      <c r="C35">
        <v>76.553333333333313</v>
      </c>
      <c r="D35">
        <v>42.1</v>
      </c>
      <c r="E35">
        <v>98</v>
      </c>
      <c r="F35">
        <v>3.5852477744306104E-2</v>
      </c>
      <c r="G35">
        <f t="shared" si="0"/>
        <v>3.5852477744306102</v>
      </c>
    </row>
    <row r="36" spans="2:7" x14ac:dyDescent="0.3">
      <c r="B36" s="1" t="s">
        <v>1235</v>
      </c>
      <c r="C36" s="1">
        <v>60.353333333333339</v>
      </c>
      <c r="D36" s="1">
        <v>41.2</v>
      </c>
      <c r="E36" s="1">
        <v>91.9</v>
      </c>
      <c r="F36">
        <v>4.6992711051298458E-2</v>
      </c>
      <c r="G36">
        <f t="shared" si="0"/>
        <v>4.6992711051298457</v>
      </c>
    </row>
    <row r="37" spans="2:7" x14ac:dyDescent="0.3">
      <c r="B37" t="s">
        <v>1236</v>
      </c>
      <c r="C37">
        <v>52.963333333333338</v>
      </c>
      <c r="D37">
        <v>40.9</v>
      </c>
      <c r="E37">
        <v>68.5</v>
      </c>
      <c r="F37">
        <v>5.8133077658150012E-2</v>
      </c>
      <c r="G37">
        <f t="shared" si="0"/>
        <v>5.8133077658150007</v>
      </c>
    </row>
    <row r="38" spans="2:7" x14ac:dyDescent="0.3">
      <c r="B38" t="s">
        <v>1253</v>
      </c>
      <c r="C38">
        <v>71.216666666666669</v>
      </c>
      <c r="D38">
        <v>46.6</v>
      </c>
      <c r="E38">
        <v>100</v>
      </c>
      <c r="F38">
        <v>2.1564698525335758E-2</v>
      </c>
      <c r="G38">
        <f t="shared" si="0"/>
        <v>2.1564698525335757</v>
      </c>
    </row>
    <row r="39" spans="2:7" x14ac:dyDescent="0.3">
      <c r="B39" t="s">
        <v>1254</v>
      </c>
      <c r="C39">
        <v>83.296666666666653</v>
      </c>
      <c r="D39">
        <v>63.7</v>
      </c>
      <c r="E39">
        <v>97.4</v>
      </c>
      <c r="F39">
        <v>3.7051288135864141E-2</v>
      </c>
      <c r="G39">
        <f t="shared" si="0"/>
        <v>3.705128813586414</v>
      </c>
    </row>
    <row r="40" spans="2:7" x14ac:dyDescent="0.3">
      <c r="B40" t="s">
        <v>1255</v>
      </c>
      <c r="C40">
        <v>69.209999999999994</v>
      </c>
      <c r="D40">
        <v>47.5</v>
      </c>
      <c r="E40">
        <v>96.1</v>
      </c>
      <c r="F40">
        <v>5.2038310339601296E-2</v>
      </c>
      <c r="G40">
        <f t="shared" si="0"/>
        <v>5.2038310339601299</v>
      </c>
    </row>
    <row r="41" spans="2:7" x14ac:dyDescent="0.3">
      <c r="B41" t="s">
        <v>1256</v>
      </c>
      <c r="C41">
        <v>56.523333333333348</v>
      </c>
      <c r="D41">
        <v>38.5</v>
      </c>
      <c r="E41">
        <v>73.2</v>
      </c>
      <c r="F41">
        <v>6.7025332543338409E-2</v>
      </c>
      <c r="G41">
        <f t="shared" si="0"/>
        <v>6.702533254333841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11</vt:i4>
      </vt:variant>
    </vt:vector>
  </HeadingPairs>
  <TitlesOfParts>
    <vt:vector size="11" baseType="lpstr">
      <vt:lpstr>logResults100Fix</vt:lpstr>
      <vt:lpstr>logResults100Freq</vt:lpstr>
      <vt:lpstr>logResults250Fix</vt:lpstr>
      <vt:lpstr>logResults250Freq</vt:lpstr>
      <vt:lpstr>logResults500Fix</vt:lpstr>
      <vt:lpstr>logResults500Freq</vt:lpstr>
      <vt:lpstr>logResults1000Fix</vt:lpstr>
      <vt:lpstr>logResults1000Freq</vt:lpstr>
      <vt:lpstr>logResults2000Fix</vt:lpstr>
      <vt:lpstr>logResults2000Freq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Bielik</dc:creator>
  <cp:lastModifiedBy>Dominik Bielik</cp:lastModifiedBy>
  <dcterms:created xsi:type="dcterms:W3CDTF">2026-04-06T10:35:59Z</dcterms:created>
  <dcterms:modified xsi:type="dcterms:W3CDTF">2026-04-06T11:19:26Z</dcterms:modified>
</cp:coreProperties>
</file>